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puts" sheetId="1" r:id="rId4"/>
    <sheet state="visible" name="Menu_Setup" sheetId="2" r:id="rId5"/>
    <sheet state="visible" name="Orden_y_Costos" sheetId="3" r:id="rId6"/>
  </sheets>
  <definedNames/>
  <calcPr/>
  <extLst>
    <ext uri="GoogleSheetsCustomDataVersion2">
      <go:sheetsCustomData xmlns:go="http://customooxmlschemas.google.com/" r:id="rId7" roundtripDataChecksum="yIyXzfTU6ihh3VeN2yamRtarw+VMVuLlsNO99wH+Fos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D20">
      <text>
        <t xml:space="preserve">======
ID#AAAB0xvCi2s
OpenAI    (2026-03-03 01:38:18)
Fuente: Cotización Andián (PDF 'CAMILA CRUZ 2026').</t>
      </text>
    </comment>
    <comment authorId="0" ref="D18">
      <text>
        <t xml:space="preserve">======
ID#AAAB0xvCi2o
OpenAI    (2026-03-03 01:38:18)
Fuente: Cotización Andián (PDF 'CAMILA CRUZ 2026').</t>
      </text>
    </comment>
    <comment authorId="0" ref="D11">
      <text>
        <t xml:space="preserve">======
ID#AAAB0xvCi2k
OpenAI    (2026-03-03 01:38:18)
Fuente: Cotización Andián (PDF 'CAMILA CRUZ 2026').</t>
      </text>
    </comment>
    <comment authorId="0" ref="D17">
      <text>
        <t xml:space="preserve">======
ID#AAAB0xvCi2g
OpenAI    (2026-03-03 01:38:18)
Fuente: Cotización Andián (PDF 'CAMILA CRUZ 2026').</t>
      </text>
    </comment>
    <comment authorId="0" ref="D8">
      <text>
        <t xml:space="preserve">======
ID#AAAB0xvCi2U
OpenAI    (2026-03-03 01:38:18)
Fuente: Cotización Andián (PDF 'CAMILA CRUZ 2026').</t>
      </text>
    </comment>
    <comment authorId="0" ref="D13">
      <text>
        <t xml:space="preserve">======
ID#AAAB0xvCi2Y
OpenAI    (2026-03-03 01:38:18)
Fuente: Cotización Andián (PDF 'CAMILA CRUZ 2026').</t>
      </text>
    </comment>
    <comment authorId="0" ref="D23">
      <text>
        <t xml:space="preserve">======
ID#AAAB0xvCi2c
OpenAI    (2026-03-03 01:38:18)
Fuente: Cotización Andián (PDF 'CAMILA CRUZ 2026').</t>
      </text>
    </comment>
    <comment authorId="0" ref="D6">
      <text>
        <t xml:space="preserve">======
ID#AAAB0xvCi2Q
OpenAI    (2026-03-03 01:38:18)
Fuente: Cotización Andián (PDF 'CAMILA CRUZ 2026').</t>
      </text>
    </comment>
    <comment authorId="0" ref="D16">
      <text>
        <t xml:space="preserve">======
ID#AAAB0xvCi2M
OpenAI    (2026-03-03 01:38:18)
Fuente: Cotización Andián (PDF 'CAMILA CRUZ 2026').</t>
      </text>
    </comment>
    <comment authorId="0" ref="D3">
      <text>
        <t xml:space="preserve">======
ID#AAAB0xvCi2I
OpenAI    (2026-03-03 01:38:18)
Fuente: Cotización Andián (PDF 'CAMILA CRUZ 2026').</t>
      </text>
    </comment>
    <comment authorId="0" ref="D15">
      <text>
        <t xml:space="preserve">======
ID#AAAB0xvCi18
OpenAI    (2026-03-03 01:38:18)
Fuente: Cotización Andián (PDF 'CAMILA CRUZ 2026').</t>
      </text>
    </comment>
    <comment authorId="0" ref="D21">
      <text>
        <t xml:space="preserve">======
ID#AAAB0xvCi2E
OpenAI    (2026-03-03 01:38:18)
Fuente: Cotización Andián (PDF 'CAMILA CRUZ 2026').</t>
      </text>
    </comment>
    <comment authorId="0" ref="D19">
      <text>
        <t xml:space="preserve">======
ID#AAAB0xvCi2A
OpenAI    (2026-03-03 01:38:18)
Fuente: Cotización Andián (PDF 'CAMILA CRUZ 2026').</t>
      </text>
    </comment>
    <comment authorId="0" ref="D12">
      <text>
        <t xml:space="preserve">======
ID#AAAB0xvCi14
OpenAI    (2026-03-03 01:38:18)
Fuente: Cotización Andián (PDF 'CAMILA CRUZ 2026').</t>
      </text>
    </comment>
    <comment authorId="0" ref="D14">
      <text>
        <t xml:space="preserve">======
ID#AAAB0xvCi10
OpenAI    (2026-03-03 01:38:18)
Fuente: Cotización Andián (PDF 'CAMILA CRUZ 2026').</t>
      </text>
    </comment>
    <comment authorId="0" ref="D4">
      <text>
        <t xml:space="preserve">======
ID#AAAB0xvCi1w
OpenAI    (2026-03-03 01:38:18)
Fuente: Cotización Andián (PDF 'CAMILA CRUZ 2026').</t>
      </text>
    </comment>
    <comment authorId="0" ref="D9">
      <text>
        <t xml:space="preserve">======
ID#AAAB0xvCi1s
OpenAI    (2026-03-03 01:38:18)
Fuente: Cotización Andián (PDF 'CAMILA CRUZ 2026').</t>
      </text>
    </comment>
    <comment authorId="0" ref="D5">
      <text>
        <t xml:space="preserve">======
ID#AAAB1SF-7U4
OpenAI    (2026-03-03 01:38:18)
Fuente: Cotización Andián (PDF 'CAMILA CRUZ 2026').</t>
      </text>
    </comment>
    <comment authorId="0" ref="D22">
      <text>
        <t xml:space="preserve">======
ID#AAAB1SF-7U0
OpenAI    (2026-03-03 01:38:18)
Fuente: Cotización Andián (PDF 'CAMILA CRUZ 2026').</t>
      </text>
    </comment>
    <comment authorId="0" ref="D10">
      <text>
        <t xml:space="preserve">======
ID#AAAB1SF-7Uw
OpenAI    (2026-03-03 01:38:18)
Fuente: Cotización Andián (PDF 'CAMILA CRUZ 2026').</t>
      </text>
    </comment>
    <comment authorId="0" ref="D7">
      <text>
        <t xml:space="preserve">======
ID#AAAB1SF-7Us
OpenAI    (2026-03-03 01:38:18)
Fuente: Cotización Andián (PDF 'CAMILA CRUZ 2026').</t>
      </text>
    </comment>
  </commentList>
  <extLst>
    <ext uri="GoogleSheetsCustomDataVersion2">
      <go:sheetsCustomData xmlns:go="http://customooxmlschemas.google.com/" r:id="rId1" roundtripDataSignature="AMtx7milTE04Cr3rcq82ICqupi+klfZJXw=="/>
    </ext>
  </extLst>
</comments>
</file>

<file path=xl/sharedStrings.xml><?xml version="1.0" encoding="utf-8"?>
<sst xmlns="http://schemas.openxmlformats.org/spreadsheetml/2006/main" count="172" uniqueCount="93">
  <si>
    <t>Calculadora Lunch + Coffee Breaks (Andián) - 2 días</t>
  </si>
  <si>
    <t>Escenario A (bajo) - Invitados Día 1</t>
  </si>
  <si>
    <t>Escenario A (bajo) - Invitados Día 2</t>
  </si>
  <si>
    <t>Escenario B (alto) - Invitados Día 1</t>
  </si>
  <si>
    <t>Escenario B (alto) - Invitados Día 2</t>
  </si>
  <si>
    <t>Lunch boxes por invitado (target)</t>
  </si>
  <si>
    <t>Coffee break AM - piezas por invitado (target)</t>
  </si>
  <si>
    <t>Coffee break PM - piezas por invitado (target)</t>
  </si>
  <si>
    <t>% Vegetariano (de lunch)</t>
  </si>
  <si>
    <t>TBD</t>
  </si>
  <si>
    <t>Mínimo por variedad (si aplica)</t>
  </si>
  <si>
    <t>Montaje y Transporte (por día)</t>
  </si>
  <si>
    <t># días aplica montaje/transporte</t>
  </si>
  <si>
    <t>Notas clave</t>
  </si>
  <si>
    <t>- Menús por día cargados en Menu_Setup (puedes ajustar porciones/porcentaje por ítem).
- Coffee breaks modelados como 'unidades por invitado' (normalmente 0 o 1 por ítem).
- Lunch modelado como 'share' (suma = 1.0 por invitado), separado en regular y vegetariano.
- Algunos ítems están marcados como PROPUESTO (pendiente de cotizar) para cubrir 2º día y la alternativa PM.</t>
  </si>
  <si>
    <t>Curación de menú (Coffee AM/PM y Lunch) - asignación Día 1 vs Día 2</t>
  </si>
  <si>
    <t>Categoría</t>
  </si>
  <si>
    <t>Item</t>
  </si>
  <si>
    <t>Fuente</t>
  </si>
  <si>
    <t>Precio unitario</t>
  </si>
  <si>
    <t>Notas</t>
  </si>
  <si>
    <t>Día 1 - unidades/invitado</t>
  </si>
  <si>
    <t>Día 2 - unidades/invitado</t>
  </si>
  <si>
    <t>Chequeos</t>
  </si>
  <si>
    <t>Precio editable?</t>
  </si>
  <si>
    <t>Coffee AM</t>
  </si>
  <si>
    <t>Parfait de frutos del bosque y yogurt griego</t>
  </si>
  <si>
    <t>COTIZADO</t>
  </si>
  <si>
    <t/>
  </si>
  <si>
    <t>No</t>
  </si>
  <si>
    <t>Vaso de frutas</t>
  </si>
  <si>
    <t>Banana Bread</t>
  </si>
  <si>
    <t>Lemon bread</t>
  </si>
  <si>
    <t>Coffee PM</t>
  </si>
  <si>
    <t>Día 2 usa alternativa salada (ver abajo).</t>
  </si>
  <si>
    <t>Alternativa (reemplaza vaso de frutas)</t>
  </si>
  <si>
    <t>PROPUESTO</t>
  </si>
  <si>
    <t>Ejemplos: vaso caprese / tabulé . Mantener $3.25.</t>
  </si>
  <si>
    <t>Sí</t>
  </si>
  <si>
    <t>Vaso de hummus con vegetales</t>
  </si>
  <si>
    <t>Lunch Regular</t>
  </si>
  <si>
    <t>Focaccia BLT</t>
  </si>
  <si>
    <t>Día 1</t>
  </si>
  <si>
    <t>Ensalada Cobb</t>
  </si>
  <si>
    <t>Wrap de pollo</t>
  </si>
  <si>
    <t xml:space="preserve">Opcion 1 Menu Dia 2 </t>
  </si>
  <si>
    <t>Propuesta 2º día (pendiente cotizar).</t>
  </si>
  <si>
    <t xml:space="preserve">Opcion 2  Menu Dia 2 </t>
  </si>
  <si>
    <t>Opcion 3  Menu Dia 2</t>
  </si>
  <si>
    <t>Lunch Veg</t>
  </si>
  <si>
    <t>Wrap de falafel</t>
  </si>
  <si>
    <t>Focaccia Vegetariano</t>
  </si>
  <si>
    <t xml:space="preserve">Opcion 1 Vegetariano Menu Dia 2 </t>
  </si>
  <si>
    <t xml:space="preserve">Opcion 2 Vegetariano Menu Dia 2 </t>
  </si>
  <si>
    <t>Opcional para variar AM.</t>
  </si>
  <si>
    <t>Opcional para variar PM.</t>
  </si>
  <si>
    <t>Checks (targets / consistencia)</t>
  </si>
  <si>
    <t>Coffee AM - Día 1 piezas/invitado (target Inputs!B9)</t>
  </si>
  <si>
    <t>Coffee AM - Día 2 piezas/invitado (target Inputs!B9)</t>
  </si>
  <si>
    <t>Coffee PM - Día 1 piezas/invitado (target Inputs!B10)</t>
  </si>
  <si>
    <t>Coffee PM - Día 2 piezas/invitado (target Inputs!B10)</t>
  </si>
  <si>
    <t>Lunch Día 1 - Regular share (target = 1 - %Veg)</t>
  </si>
  <si>
    <t>Lunch Día 1 - Veg share (target = %Veg)</t>
  </si>
  <si>
    <t>Lunch Día 2 - Regular share (target = 1 - %Veg)</t>
  </si>
  <si>
    <t>Lunch Día 2 - Veg share (target = %Veg)</t>
  </si>
  <si>
    <t>Orden de compra (cantidades y costos) - comparativo 400 vs 500</t>
  </si>
  <si>
    <t>Inputs clave</t>
  </si>
  <si>
    <t>Escenarios</t>
  </si>
  <si>
    <t>Esc A - Invitados Día 1</t>
  </si>
  <si>
    <t>Esc A - Invitados Día 2</t>
  </si>
  <si>
    <t>Esc B - Invitados Día 1</t>
  </si>
  <si>
    <t>Esc B - Invitados Día 2</t>
  </si>
  <si>
    <t>% Veg (lunch)</t>
  </si>
  <si>
    <t>Min/variedad</t>
  </si>
  <si>
    <t>D1 UPP</t>
  </si>
  <si>
    <t>D2 UPP</t>
  </si>
  <si>
    <t>Qty D1 (A=400)</t>
  </si>
  <si>
    <t>Qty D1 (B=500)</t>
  </si>
  <si>
    <t>Costo D1 (A)</t>
  </si>
  <si>
    <t>Costo D1 (B)</t>
  </si>
  <si>
    <t>Qty D2 (A=400)</t>
  </si>
  <si>
    <t>Qty D2 (B=500)</t>
  </si>
  <si>
    <t>Costo D2 (A)</t>
  </si>
  <si>
    <t>Costo D2 (B)</t>
  </si>
  <si>
    <t>Resumen de costos</t>
  </si>
  <si>
    <t>Subtotal Día 1 (Esc A)</t>
  </si>
  <si>
    <t>Subtotal Día 1 (Esc B)</t>
  </si>
  <si>
    <t>Subtotal Día 2 (Esc A)</t>
  </si>
  <si>
    <t>Subtotal Día 2 (Esc B)</t>
  </si>
  <si>
    <t>Montaje/Transporte total (Esc A)</t>
  </si>
  <si>
    <t>Montaje/Transporte total (Esc B)</t>
  </si>
  <si>
    <t>TOTAL 2 días + fees (Esc A)</t>
  </si>
  <si>
    <t>TOTAL 2 días + fees (Esc B)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</si>
</sst>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%"/>
    <numFmt numFmtId="165" formatCode="$#,##0.00"/>
  </numFmts>
  <fonts count="10">
    <font>
      <sz val="11.0"/>
      <color theme="1"/>
      <name val="Calibri"/>
      <scheme val="minor"/>
    </font>
    <font>
      <b/>
      <sz val="13.0"/>
      <color rgb="FFFFFFFF"/>
      <name val="Calibri"/>
      <scheme val="minor"/>
    </font>
    <font/>
    <font>
      <b/>
      <color rgb="FF666666"/>
      <name val="Calibri"/>
      <scheme val="minor"/>
    </font>
    <font>
      <color rgb="FF0000FF"/>
      <name val="Calibri"/>
      <scheme val="minor"/>
    </font>
    <font>
      <color theme="1"/>
      <name val="Calibri"/>
      <scheme val="minor"/>
    </font>
    <font>
      <b/>
      <color rgb="FF000000"/>
      <name val="Calibri"/>
      <scheme val="minor"/>
    </font>
    <font>
      <color rgb="FF666666"/>
      <name val="Calibri"/>
      <scheme val="minor"/>
    </font>
    <font>
      <sz val="11.0"/>
      <color theme="1"/>
      <name val="Calibri"/>
    </font>
    <font>
      <b/>
      <color theme="1"/>
      <name val="Calibri"/>
      <scheme val="minor"/>
    </font>
  </fonts>
  <fills count="9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FFF2CC"/>
        <bgColor rgb="FFFFF2CC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E4DFEC"/>
        <bgColor rgb="FFE4DFEC"/>
      </patternFill>
    </fill>
    <fill>
      <patternFill patternType="solid">
        <fgColor rgb="FFDDEBF7"/>
        <bgColor rgb="FFDDEBF7"/>
      </patternFill>
    </fill>
    <fill>
      <patternFill patternType="solid">
        <fgColor rgb="FFE2F0D9"/>
        <bgColor rgb="FFE2F0D9"/>
      </patternFill>
    </fill>
  </fills>
  <borders count="7">
    <border/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thin">
        <color rgb="FFB7B7B7"/>
      </top>
    </border>
    <border>
      <top style="medium">
        <color rgb="FF7F7F7F"/>
      </top>
    </border>
  </borders>
  <cellStyleXfs count="1">
    <xf borderId="0" fillId="0" fontId="0" numFmtId="0" applyAlignment="1" applyFont="1"/>
  </cellStyleXfs>
  <cellXfs count="30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0" fillId="0" fontId="3" numFmtId="0" xfId="0" applyFont="1"/>
    <xf borderId="4" fillId="3" fontId="4" numFmtId="0" xfId="0" applyAlignment="1" applyBorder="1" applyFill="1" applyFont="1">
      <alignment horizontal="center"/>
    </xf>
    <xf borderId="4" fillId="3" fontId="4" numFmtId="2" xfId="0" applyAlignment="1" applyBorder="1" applyFont="1" applyNumberFormat="1">
      <alignment horizontal="center"/>
    </xf>
    <xf borderId="4" fillId="3" fontId="4" numFmtId="164" xfId="0" applyAlignment="1" applyBorder="1" applyFont="1" applyNumberFormat="1">
      <alignment horizontal="center"/>
    </xf>
    <xf borderId="0" fillId="0" fontId="5" numFmtId="0" xfId="0" applyAlignment="1" applyFont="1">
      <alignment readingOrder="0"/>
    </xf>
    <xf borderId="4" fillId="3" fontId="4" numFmtId="1" xfId="0" applyAlignment="1" applyBorder="1" applyFont="1" applyNumberFormat="1">
      <alignment horizontal="center"/>
    </xf>
    <xf borderId="4" fillId="3" fontId="4" numFmtId="165" xfId="0" applyAlignment="1" applyBorder="1" applyFont="1" applyNumberFormat="1">
      <alignment horizontal="center"/>
    </xf>
    <xf borderId="4" fillId="4" fontId="6" numFmtId="0" xfId="0" applyBorder="1" applyFill="1" applyFont="1"/>
    <xf borderId="0" fillId="0" fontId="7" numFmtId="0" xfId="0" applyAlignment="1" applyFont="1">
      <alignment readingOrder="0" shrinkToFit="0" vertical="top" wrapText="1"/>
    </xf>
    <xf borderId="5" fillId="5" fontId="6" numFmtId="0" xfId="0" applyAlignment="1" applyBorder="1" applyFill="1" applyFont="1">
      <alignment horizontal="center" shrinkToFit="0" vertical="center" wrapText="1"/>
    </xf>
    <xf borderId="0" fillId="0" fontId="8" numFmtId="0" xfId="0" applyAlignment="1" applyFont="1">
      <alignment vertical="top"/>
    </xf>
    <xf borderId="0" fillId="0" fontId="8" numFmtId="0" xfId="0" applyAlignment="1" applyFont="1">
      <alignment shrinkToFit="0" vertical="top" wrapText="1"/>
    </xf>
    <xf borderId="0" fillId="0" fontId="8" numFmtId="165" xfId="0" applyAlignment="1" applyFont="1" applyNumberFormat="1">
      <alignment vertical="top"/>
    </xf>
    <xf borderId="4" fillId="3" fontId="4" numFmtId="0" xfId="0" applyAlignment="1" applyBorder="1" applyFont="1">
      <alignment vertical="top"/>
    </xf>
    <xf borderId="0" fillId="0" fontId="8" numFmtId="0" xfId="0" applyAlignment="1" applyFont="1">
      <alignment readingOrder="0" shrinkToFit="0" vertical="top" wrapText="1"/>
    </xf>
    <xf borderId="4" fillId="6" fontId="6" numFmtId="0" xfId="0" applyAlignment="1" applyBorder="1" applyFill="1" applyFont="1">
      <alignment vertical="top"/>
    </xf>
    <xf borderId="0" fillId="0" fontId="4" numFmtId="165" xfId="0" applyAlignment="1" applyFont="1" applyNumberFormat="1">
      <alignment vertical="top"/>
    </xf>
    <xf borderId="4" fillId="7" fontId="8" numFmtId="0" xfId="0" applyAlignment="1" applyBorder="1" applyFill="1" applyFont="1">
      <alignment horizontal="center"/>
    </xf>
    <xf borderId="4" fillId="8" fontId="9" numFmtId="0" xfId="0" applyAlignment="1" applyBorder="1" applyFill="1" applyFont="1">
      <alignment horizontal="center"/>
    </xf>
    <xf borderId="0" fillId="0" fontId="4" numFmtId="2" xfId="0" applyAlignment="1" applyFont="1" applyNumberFormat="1">
      <alignment vertical="top"/>
    </xf>
    <xf borderId="0" fillId="0" fontId="8" numFmtId="1" xfId="0" applyAlignment="1" applyFont="1" applyNumberFormat="1">
      <alignment vertical="top"/>
    </xf>
    <xf borderId="4" fillId="6" fontId="9" numFmtId="0" xfId="0" applyAlignment="1" applyBorder="1" applyFont="1">
      <alignment vertical="top"/>
    </xf>
    <xf borderId="0" fillId="7" fontId="8" numFmtId="165" xfId="0" applyAlignment="1" applyFont="1" applyNumberFormat="1">
      <alignment horizontal="center"/>
    </xf>
    <xf borderId="6" fillId="0" fontId="3" numFmtId="0" xfId="0" applyBorder="1" applyFont="1"/>
    <xf borderId="6" fillId="3" fontId="8" numFmtId="165" xfId="0" applyAlignment="1" applyBorder="1" applyFont="1" applyNumberFormat="1">
      <alignment horizontal="center"/>
    </xf>
    <xf borderId="0" fillId="0" fontId="5" numFmtId="0" xfId="0" applyFont="1"/>
  </cellXfs>
  <cellStyles count="1">
    <cellStyle xfId="0" name="Normal" builtinId="0"/>
  </cellStyles>
  <dxfs count="1">
    <dxf>
      <font/>
      <fill>
        <patternFill patternType="solid">
          <fgColor rgb="FFFCE4D6"/>
          <bgColor rgb="FFFCE4D6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56.0"/>
    <col customWidth="1" min="2" max="2" width="18.0"/>
    <col customWidth="1" min="3" max="6" width="4.0"/>
    <col customWidth="1" min="7" max="26" width="8.71"/>
  </cols>
  <sheetData>
    <row r="1" ht="24.0" customHeight="1">
      <c r="A1" s="1" t="s">
        <v>0</v>
      </c>
      <c r="B1" s="2"/>
      <c r="C1" s="2"/>
      <c r="D1" s="2"/>
      <c r="E1" s="2"/>
      <c r="F1" s="3"/>
    </row>
    <row r="3">
      <c r="A3" s="4" t="s">
        <v>1</v>
      </c>
      <c r="B3" s="5">
        <v>400.0</v>
      </c>
    </row>
    <row r="4">
      <c r="A4" s="4" t="s">
        <v>2</v>
      </c>
      <c r="B4" s="5">
        <v>400.0</v>
      </c>
    </row>
    <row r="5">
      <c r="A5" s="4" t="s">
        <v>3</v>
      </c>
      <c r="B5" s="5">
        <v>500.0</v>
      </c>
    </row>
    <row r="6">
      <c r="A6" s="4" t="s">
        <v>4</v>
      </c>
      <c r="B6" s="5">
        <v>500.0</v>
      </c>
    </row>
    <row r="8">
      <c r="A8" s="4" t="s">
        <v>5</v>
      </c>
      <c r="B8" s="6">
        <v>1.0</v>
      </c>
    </row>
    <row r="9">
      <c r="A9" s="4" t="s">
        <v>6</v>
      </c>
      <c r="B9" s="6">
        <v>3.0</v>
      </c>
    </row>
    <row r="10">
      <c r="A10" s="4" t="s">
        <v>7</v>
      </c>
      <c r="B10" s="6">
        <v>3.0</v>
      </c>
    </row>
    <row r="12">
      <c r="A12" s="4" t="s">
        <v>8</v>
      </c>
      <c r="B12" s="7"/>
      <c r="C12" s="8" t="s">
        <v>9</v>
      </c>
    </row>
    <row r="13">
      <c r="A13" s="4" t="s">
        <v>10</v>
      </c>
      <c r="B13" s="9">
        <v>0.0</v>
      </c>
    </row>
    <row r="15">
      <c r="A15" s="4" t="s">
        <v>11</v>
      </c>
      <c r="B15" s="10">
        <v>450.0</v>
      </c>
    </row>
    <row r="16">
      <c r="A16" s="4" t="s">
        <v>12</v>
      </c>
      <c r="B16" s="9">
        <v>2.0</v>
      </c>
    </row>
    <row r="18">
      <c r="A18" s="11" t="s">
        <v>13</v>
      </c>
    </row>
    <row r="19" ht="87.75" customHeight="1">
      <c r="A19" s="12" t="s">
        <v>14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19:A2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2.57"/>
    <col customWidth="1" min="2" max="2" width="40.0"/>
    <col customWidth="1" min="3" max="4" width="14.0"/>
    <col customWidth="1" min="5" max="5" width="34.0"/>
    <col customWidth="1" min="6" max="7" width="20.0"/>
    <col customWidth="1" min="8" max="8" width="18.0"/>
    <col customWidth="1" min="9" max="9" width="14.0"/>
    <col customWidth="1" min="10" max="26" width="8.71"/>
  </cols>
  <sheetData>
    <row r="1" ht="24.0" customHeight="1">
      <c r="A1" s="1" t="s">
        <v>15</v>
      </c>
      <c r="B1" s="2"/>
      <c r="C1" s="2"/>
      <c r="D1" s="2"/>
      <c r="E1" s="2"/>
      <c r="F1" s="2"/>
      <c r="G1" s="2"/>
      <c r="H1" s="2"/>
      <c r="I1" s="3"/>
    </row>
    <row r="2">
      <c r="A2" s="13" t="s">
        <v>16</v>
      </c>
      <c r="B2" s="13" t="s">
        <v>17</v>
      </c>
      <c r="C2" s="13" t="s">
        <v>18</v>
      </c>
      <c r="D2" s="13" t="s">
        <v>19</v>
      </c>
      <c r="E2" s="13" t="s">
        <v>20</v>
      </c>
      <c r="F2" s="13" t="s">
        <v>21</v>
      </c>
      <c r="G2" s="13" t="s">
        <v>22</v>
      </c>
      <c r="H2" s="13" t="s">
        <v>23</v>
      </c>
      <c r="I2" s="13" t="s">
        <v>24</v>
      </c>
    </row>
    <row r="3">
      <c r="A3" s="14" t="s">
        <v>25</v>
      </c>
      <c r="B3" s="15" t="s">
        <v>26</v>
      </c>
      <c r="C3" s="14" t="s">
        <v>27</v>
      </c>
      <c r="D3" s="16">
        <v>3.75</v>
      </c>
      <c r="E3" s="15" t="s">
        <v>28</v>
      </c>
      <c r="F3" s="17">
        <v>1.0</v>
      </c>
      <c r="G3" s="17">
        <v>1.0</v>
      </c>
      <c r="I3" s="14" t="s">
        <v>29</v>
      </c>
    </row>
    <row r="4">
      <c r="A4" s="14" t="s">
        <v>25</v>
      </c>
      <c r="B4" s="15" t="s">
        <v>30</v>
      </c>
      <c r="C4" s="14" t="s">
        <v>27</v>
      </c>
      <c r="D4" s="16">
        <v>3.25</v>
      </c>
      <c r="E4" s="15" t="s">
        <v>28</v>
      </c>
      <c r="F4" s="17">
        <v>1.0</v>
      </c>
      <c r="G4" s="17">
        <v>1.0</v>
      </c>
      <c r="I4" s="14" t="s">
        <v>29</v>
      </c>
    </row>
    <row r="5">
      <c r="A5" s="14" t="s">
        <v>25</v>
      </c>
      <c r="B5" s="15" t="s">
        <v>31</v>
      </c>
      <c r="C5" s="14" t="s">
        <v>27</v>
      </c>
      <c r="D5" s="16">
        <v>1.25</v>
      </c>
      <c r="E5" s="15" t="s">
        <v>28</v>
      </c>
      <c r="F5" s="17">
        <v>1.0</v>
      </c>
      <c r="G5" s="17">
        <v>0.0</v>
      </c>
      <c r="I5" s="14" t="s">
        <v>29</v>
      </c>
    </row>
    <row r="6">
      <c r="A6" s="14" t="s">
        <v>25</v>
      </c>
      <c r="B6" s="15" t="s">
        <v>32</v>
      </c>
      <c r="C6" s="14" t="s">
        <v>27</v>
      </c>
      <c r="D6" s="16">
        <v>1.25</v>
      </c>
      <c r="E6" s="15" t="s">
        <v>28</v>
      </c>
      <c r="F6" s="17">
        <v>0.0</v>
      </c>
      <c r="G6" s="17">
        <v>1.0</v>
      </c>
      <c r="I6" s="14" t="s">
        <v>29</v>
      </c>
    </row>
    <row r="7">
      <c r="A7" s="14" t="s">
        <v>33</v>
      </c>
      <c r="B7" s="15" t="s">
        <v>30</v>
      </c>
      <c r="C7" s="14" t="s">
        <v>27</v>
      </c>
      <c r="D7" s="16">
        <v>3.25</v>
      </c>
      <c r="E7" s="15" t="s">
        <v>34</v>
      </c>
      <c r="F7" s="17">
        <v>1.0</v>
      </c>
      <c r="G7" s="17">
        <v>0.0</v>
      </c>
      <c r="I7" s="14" t="s">
        <v>29</v>
      </c>
    </row>
    <row r="8">
      <c r="A8" s="14" t="s">
        <v>33</v>
      </c>
      <c r="B8" s="18" t="s">
        <v>35</v>
      </c>
      <c r="C8" s="19" t="s">
        <v>36</v>
      </c>
      <c r="D8" s="20">
        <v>3.25</v>
      </c>
      <c r="E8" s="18" t="s">
        <v>37</v>
      </c>
      <c r="F8" s="17">
        <v>0.0</v>
      </c>
      <c r="G8" s="17">
        <v>1.0</v>
      </c>
      <c r="I8" s="14" t="s">
        <v>38</v>
      </c>
    </row>
    <row r="9">
      <c r="A9" s="14" t="s">
        <v>33</v>
      </c>
      <c r="B9" s="15" t="s">
        <v>39</v>
      </c>
      <c r="C9" s="14" t="s">
        <v>27</v>
      </c>
      <c r="D9" s="16">
        <v>3.0</v>
      </c>
      <c r="E9" s="15" t="s">
        <v>28</v>
      </c>
      <c r="F9" s="17">
        <v>1.0</v>
      </c>
      <c r="G9" s="17">
        <v>1.0</v>
      </c>
      <c r="I9" s="14" t="s">
        <v>29</v>
      </c>
    </row>
    <row r="10">
      <c r="A10" s="14" t="s">
        <v>33</v>
      </c>
      <c r="B10" s="15" t="s">
        <v>32</v>
      </c>
      <c r="C10" s="14" t="s">
        <v>27</v>
      </c>
      <c r="D10" s="16">
        <v>1.25</v>
      </c>
      <c r="E10" s="15" t="s">
        <v>28</v>
      </c>
      <c r="F10" s="17">
        <v>1.0</v>
      </c>
      <c r="G10" s="17">
        <v>0.0</v>
      </c>
      <c r="I10" s="14" t="s">
        <v>29</v>
      </c>
    </row>
    <row r="11">
      <c r="A11" s="14" t="s">
        <v>33</v>
      </c>
      <c r="B11" s="15" t="s">
        <v>31</v>
      </c>
      <c r="C11" s="14" t="s">
        <v>27</v>
      </c>
      <c r="D11" s="16">
        <v>1.25</v>
      </c>
      <c r="E11" s="15" t="s">
        <v>28</v>
      </c>
      <c r="F11" s="17">
        <v>0.0</v>
      </c>
      <c r="G11" s="17">
        <v>1.0</v>
      </c>
      <c r="I11" s="14" t="s">
        <v>29</v>
      </c>
    </row>
    <row r="12">
      <c r="A12" s="14" t="s">
        <v>40</v>
      </c>
      <c r="B12" s="15" t="s">
        <v>41</v>
      </c>
      <c r="C12" s="14" t="s">
        <v>27</v>
      </c>
      <c r="D12" s="16">
        <v>8.5</v>
      </c>
      <c r="E12" s="15" t="s">
        <v>42</v>
      </c>
      <c r="F12" s="17">
        <v>0.3</v>
      </c>
      <c r="G12" s="17">
        <v>0.0</v>
      </c>
      <c r="I12" s="14" t="s">
        <v>29</v>
      </c>
    </row>
    <row r="13">
      <c r="A13" s="14" t="s">
        <v>40</v>
      </c>
      <c r="B13" s="15" t="s">
        <v>43</v>
      </c>
      <c r="C13" s="14" t="s">
        <v>27</v>
      </c>
      <c r="D13" s="16">
        <v>8.5</v>
      </c>
      <c r="E13" s="15" t="s">
        <v>42</v>
      </c>
      <c r="F13" s="17">
        <v>0.3</v>
      </c>
      <c r="G13" s="17">
        <v>0.0</v>
      </c>
      <c r="I13" s="14" t="s">
        <v>29</v>
      </c>
    </row>
    <row r="14">
      <c r="A14" s="14" t="s">
        <v>40</v>
      </c>
      <c r="B14" s="15" t="s">
        <v>44</v>
      </c>
      <c r="C14" s="14" t="s">
        <v>27</v>
      </c>
      <c r="D14" s="16">
        <v>8.0</v>
      </c>
      <c r="E14" s="15" t="s">
        <v>42</v>
      </c>
      <c r="F14" s="17">
        <v>0.25</v>
      </c>
      <c r="G14" s="17">
        <v>0.0</v>
      </c>
      <c r="I14" s="14" t="s">
        <v>29</v>
      </c>
    </row>
    <row r="15">
      <c r="A15" s="14" t="s">
        <v>40</v>
      </c>
      <c r="B15" s="18" t="s">
        <v>45</v>
      </c>
      <c r="C15" s="19" t="s">
        <v>36</v>
      </c>
      <c r="D15" s="20">
        <v>8.5</v>
      </c>
      <c r="E15" s="15" t="s">
        <v>46</v>
      </c>
      <c r="F15" s="17">
        <v>0.0</v>
      </c>
      <c r="G15" s="17">
        <v>0.3</v>
      </c>
      <c r="I15" s="14" t="s">
        <v>38</v>
      </c>
    </row>
    <row r="16">
      <c r="A16" s="14" t="s">
        <v>40</v>
      </c>
      <c r="B16" s="18" t="s">
        <v>47</v>
      </c>
      <c r="C16" s="19" t="s">
        <v>36</v>
      </c>
      <c r="D16" s="20">
        <v>8.5</v>
      </c>
      <c r="E16" s="15" t="s">
        <v>46</v>
      </c>
      <c r="F16" s="17">
        <v>0.0</v>
      </c>
      <c r="G16" s="17">
        <v>0.3</v>
      </c>
      <c r="I16" s="14" t="s">
        <v>38</v>
      </c>
    </row>
    <row r="17">
      <c r="A17" s="14" t="s">
        <v>40</v>
      </c>
      <c r="B17" s="18" t="s">
        <v>48</v>
      </c>
      <c r="C17" s="19" t="s">
        <v>36</v>
      </c>
      <c r="D17" s="20">
        <v>8.5</v>
      </c>
      <c r="E17" s="15" t="s">
        <v>46</v>
      </c>
      <c r="F17" s="17">
        <v>0.0</v>
      </c>
      <c r="G17" s="17">
        <v>0.25</v>
      </c>
      <c r="I17" s="14" t="s">
        <v>38</v>
      </c>
    </row>
    <row r="18">
      <c r="A18" s="14" t="s">
        <v>49</v>
      </c>
      <c r="B18" s="15" t="s">
        <v>50</v>
      </c>
      <c r="C18" s="14" t="s">
        <v>27</v>
      </c>
      <c r="D18" s="16">
        <v>7.0</v>
      </c>
      <c r="E18" s="15" t="s">
        <v>42</v>
      </c>
      <c r="F18" s="17">
        <v>0.1</v>
      </c>
      <c r="G18" s="17">
        <v>0.0</v>
      </c>
      <c r="I18" s="14" t="s">
        <v>29</v>
      </c>
    </row>
    <row r="19">
      <c r="A19" s="14" t="s">
        <v>49</v>
      </c>
      <c r="B19" s="15" t="s">
        <v>51</v>
      </c>
      <c r="C19" s="14" t="s">
        <v>27</v>
      </c>
      <c r="D19" s="16">
        <v>8.5</v>
      </c>
      <c r="E19" s="15" t="s">
        <v>42</v>
      </c>
      <c r="F19" s="17">
        <v>0.05</v>
      </c>
      <c r="G19" s="17">
        <v>0.0</v>
      </c>
      <c r="I19" s="14" t="s">
        <v>29</v>
      </c>
    </row>
    <row r="20">
      <c r="A20" s="14" t="s">
        <v>49</v>
      </c>
      <c r="B20" s="18" t="s">
        <v>52</v>
      </c>
      <c r="C20" s="19" t="s">
        <v>36</v>
      </c>
      <c r="D20" s="20">
        <v>8.0</v>
      </c>
      <c r="E20" s="15" t="s">
        <v>46</v>
      </c>
      <c r="F20" s="17">
        <v>0.0</v>
      </c>
      <c r="G20" s="17">
        <v>0.08</v>
      </c>
      <c r="I20" s="14" t="s">
        <v>38</v>
      </c>
    </row>
    <row r="21" ht="15.75" customHeight="1">
      <c r="A21" s="14" t="s">
        <v>49</v>
      </c>
      <c r="B21" s="18" t="s">
        <v>53</v>
      </c>
      <c r="C21" s="19" t="s">
        <v>36</v>
      </c>
      <c r="D21" s="20">
        <v>8.5</v>
      </c>
      <c r="E21" s="15" t="s">
        <v>46</v>
      </c>
      <c r="F21" s="17">
        <v>0.0</v>
      </c>
      <c r="G21" s="17">
        <v>0.07</v>
      </c>
      <c r="I21" s="14" t="s">
        <v>38</v>
      </c>
    </row>
    <row r="22" ht="15.75" customHeight="1">
      <c r="A22" s="14" t="s">
        <v>25</v>
      </c>
      <c r="B22" s="15" t="s">
        <v>39</v>
      </c>
      <c r="C22" s="14" t="s">
        <v>27</v>
      </c>
      <c r="D22" s="16">
        <v>3.0</v>
      </c>
      <c r="E22" s="15" t="s">
        <v>54</v>
      </c>
      <c r="F22" s="17">
        <v>0.0</v>
      </c>
      <c r="G22" s="17">
        <v>0.0</v>
      </c>
      <c r="I22" s="14" t="s">
        <v>29</v>
      </c>
    </row>
    <row r="23" ht="15.75" customHeight="1">
      <c r="A23" s="14" t="s">
        <v>33</v>
      </c>
      <c r="B23" s="15" t="s">
        <v>26</v>
      </c>
      <c r="C23" s="14" t="s">
        <v>27</v>
      </c>
      <c r="D23" s="16">
        <v>3.75</v>
      </c>
      <c r="E23" s="15" t="s">
        <v>55</v>
      </c>
      <c r="F23" s="17">
        <v>0.0</v>
      </c>
      <c r="G23" s="17">
        <v>0.0</v>
      </c>
      <c r="I23" s="14" t="s">
        <v>29</v>
      </c>
    </row>
    <row r="24" ht="15.75" customHeight="1"/>
    <row r="25" ht="15.75" customHeight="1">
      <c r="A25" s="11" t="s">
        <v>56</v>
      </c>
    </row>
    <row r="26" ht="15.75" customHeight="1">
      <c r="A26" s="4" t="s">
        <v>57</v>
      </c>
      <c r="B26" s="21">
        <f>SUMPRODUCT(($A$3:$A$23="Coffee AM")*($F$3:$F$23))</f>
        <v>3</v>
      </c>
      <c r="C26" s="22" t="str">
        <f>IF(ABS(B26-Inputs!$B$9)&lt;0.001,"OK","REVISAR")</f>
        <v>OK</v>
      </c>
      <c r="E26" s="4" t="s">
        <v>58</v>
      </c>
      <c r="F26" s="21">
        <f>SUMPRODUCT(($A$3:$A$23="Coffee AM")*($G$3:$G$23))</f>
        <v>3</v>
      </c>
      <c r="G26" s="22" t="str">
        <f>IF(ABS(F26-Inputs!$B$9)&lt;0.001,"OK","REVISAR")</f>
        <v>OK</v>
      </c>
    </row>
    <row r="27" ht="15.75" customHeight="1">
      <c r="A27" s="4" t="s">
        <v>59</v>
      </c>
      <c r="B27" s="21">
        <f>SUMPRODUCT(($A$3:$A$23="Coffee PM")*($F$3:$F$23))</f>
        <v>3</v>
      </c>
      <c r="C27" s="22" t="str">
        <f>IF(ABS(B27-Inputs!$B$10)&lt;0.001,"OK","REVISAR")</f>
        <v>OK</v>
      </c>
      <c r="E27" s="4" t="s">
        <v>60</v>
      </c>
      <c r="F27" s="21">
        <f>SUMPRODUCT(($A$3:$A$23="Coffee PM")*($G$3:$G$23))</f>
        <v>3</v>
      </c>
      <c r="G27" s="22" t="str">
        <f>IF(ABS(F27-Inputs!$B$10)&lt;0.001,"OK","REVISAR")</f>
        <v>OK</v>
      </c>
    </row>
    <row r="28" ht="15.75" customHeight="1">
      <c r="A28" s="4" t="s">
        <v>61</v>
      </c>
      <c r="B28" s="21">
        <f>SUMPRODUCT(($A$3:$A$23="Lunch Regular")*($F$3:$F$23))</f>
        <v>0.85</v>
      </c>
      <c r="C28" s="22" t="str">
        <f>IF(ABS(B28-(1-Inputs!$B$12))&lt;0.001,"OK","REVISAR")</f>
        <v>REVISAR</v>
      </c>
      <c r="E28" s="4" t="s">
        <v>62</v>
      </c>
      <c r="F28" s="21">
        <f>SUMPRODUCT(($A$3:$A$23="Lunch Veg")*($F$3:$F$23))</f>
        <v>0.15</v>
      </c>
      <c r="G28" s="22" t="str">
        <f>IF(ABS(F28-Inputs!$B$12)&lt;0.001,"OK","REVISAR")</f>
        <v>REVISAR</v>
      </c>
    </row>
    <row r="29" ht="15.75" customHeight="1">
      <c r="A29" s="4" t="s">
        <v>63</v>
      </c>
      <c r="B29" s="21">
        <f>SUMPRODUCT(($A$3:$A$23="Lunch Regular")*($G$3:$G$23))</f>
        <v>0.85</v>
      </c>
      <c r="C29" s="22" t="str">
        <f>IF(ABS(B29-(1-Inputs!$B$12))&lt;0.001,"OK","REVISAR")</f>
        <v>REVISAR</v>
      </c>
      <c r="E29" s="4" t="s">
        <v>64</v>
      </c>
      <c r="F29" s="21">
        <f>SUMPRODUCT(($A$3:$A$23="Lunch Veg")*($G$3:$G$23))</f>
        <v>0.15</v>
      </c>
      <c r="G29" s="22" t="str">
        <f>IF(ABS(F29-Inputs!$B$12)&lt;0.001,"OK","REVISAR")</f>
        <v>REVISAR</v>
      </c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I1"/>
  </mergeCells>
  <conditionalFormatting sqref="C26:C29">
    <cfRule type="expression" dxfId="0" priority="1">
      <formula>C26&lt;&gt;"OK"</formula>
    </cfRule>
  </conditionalFormatting>
  <conditionalFormatting sqref="G26:G29">
    <cfRule type="expression" dxfId="0" priority="2">
      <formula>G26&lt;&gt;"OK"</formula>
    </cfRule>
  </conditionalFormatting>
  <printOptions/>
  <pageMargins bottom="0.75" footer="0.0" header="0.0" left="0.7" right="0.7" top="0.75"/>
  <pageSetup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67.14"/>
    <col customWidth="1" min="2" max="2" width="36.0"/>
    <col customWidth="1" min="3" max="3" width="12.0"/>
    <col customWidth="1" min="4" max="4" width="29.57"/>
    <col customWidth="1" min="5" max="5" width="10.71"/>
    <col customWidth="1" min="6" max="6" width="9.0"/>
    <col customWidth="1" min="7" max="8" width="12.0"/>
    <col customWidth="1" min="9" max="10" width="13.0"/>
    <col customWidth="1" min="11" max="12" width="12.0"/>
    <col customWidth="1" min="13" max="14" width="13.0"/>
    <col customWidth="1" min="15" max="15" width="38.0"/>
    <col customWidth="1" min="16" max="26" width="8.71"/>
  </cols>
  <sheetData>
    <row r="1" ht="24.0" customHeight="1">
      <c r="A1" s="1" t="s">
        <v>65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3"/>
    </row>
    <row r="3">
      <c r="A3" s="11" t="s">
        <v>66</v>
      </c>
      <c r="H3" s="11" t="s">
        <v>67</v>
      </c>
    </row>
    <row r="4">
      <c r="A4" s="4" t="s">
        <v>68</v>
      </c>
      <c r="B4" s="5">
        <f>Inputs!B3</f>
        <v>400</v>
      </c>
    </row>
    <row r="5">
      <c r="A5" s="4" t="s">
        <v>69</v>
      </c>
      <c r="B5" s="5">
        <f>Inputs!B4</f>
        <v>400</v>
      </c>
    </row>
    <row r="6">
      <c r="A6" s="4" t="s">
        <v>70</v>
      </c>
      <c r="B6" s="5">
        <f>Inputs!B5</f>
        <v>500</v>
      </c>
    </row>
    <row r="7">
      <c r="A7" s="4" t="s">
        <v>71</v>
      </c>
      <c r="B7" s="5">
        <f>Inputs!B6</f>
        <v>500</v>
      </c>
    </row>
    <row r="8">
      <c r="A8" s="4" t="s">
        <v>72</v>
      </c>
      <c r="B8" s="7" t="str">
        <f>Inputs!B12</f>
        <v/>
      </c>
    </row>
    <row r="9">
      <c r="A9" s="4" t="s">
        <v>73</v>
      </c>
      <c r="B9" s="9">
        <f>Inputs!B13</f>
        <v>0</v>
      </c>
    </row>
    <row r="12">
      <c r="A12" s="13" t="s">
        <v>16</v>
      </c>
      <c r="B12" s="13" t="s">
        <v>17</v>
      </c>
      <c r="C12" s="13" t="s">
        <v>18</v>
      </c>
      <c r="D12" s="13" t="s">
        <v>19</v>
      </c>
      <c r="E12" s="13" t="s">
        <v>74</v>
      </c>
      <c r="F12" s="13" t="s">
        <v>75</v>
      </c>
      <c r="G12" s="13" t="s">
        <v>76</v>
      </c>
      <c r="H12" s="13" t="s">
        <v>77</v>
      </c>
      <c r="I12" s="13" t="s">
        <v>78</v>
      </c>
      <c r="J12" s="13" t="s">
        <v>79</v>
      </c>
      <c r="K12" s="13" t="s">
        <v>80</v>
      </c>
      <c r="L12" s="13" t="s">
        <v>81</v>
      </c>
      <c r="M12" s="13" t="s">
        <v>82</v>
      </c>
      <c r="N12" s="13" t="s">
        <v>83</v>
      </c>
      <c r="O12" s="13" t="s">
        <v>20</v>
      </c>
    </row>
    <row r="13">
      <c r="A13" s="14" t="str">
        <f>Menu_Setup!A3</f>
        <v>Coffee AM</v>
      </c>
      <c r="B13" s="15" t="str">
        <f>Menu_Setup!B3</f>
        <v>Parfait de frutos del bosque y yogurt griego</v>
      </c>
      <c r="C13" s="14" t="str">
        <f>Menu_Setup!C3</f>
        <v>COTIZADO</v>
      </c>
      <c r="D13" s="16">
        <f>Menu_Setup!D3</f>
        <v>3.75</v>
      </c>
      <c r="E13" s="23">
        <f>Menu_Setup!F3</f>
        <v>1</v>
      </c>
      <c r="F13" s="23">
        <f>Menu_Setup!G3</f>
        <v>1</v>
      </c>
      <c r="G13" s="24">
        <f>IF($E13&gt;0,MAX(Inputs!$B$13,ROUNDUP(Inputs!$B$3*$E13,0)),0)</f>
        <v>400</v>
      </c>
      <c r="H13" s="24">
        <f>IF($E13&gt;0,MAX(Inputs!$B$13,ROUNDUP(Inputs!$B$5*$E13,0)),0)</f>
        <v>500</v>
      </c>
      <c r="I13" s="16">
        <f t="shared" ref="I13:I33" si="1">$G13*$D13</f>
        <v>1500</v>
      </c>
      <c r="J13" s="16">
        <f t="shared" ref="J13:J33" si="2">$H13*$D13</f>
        <v>1875</v>
      </c>
      <c r="K13" s="24">
        <f>IF($F13&gt;0,MAX(Inputs!$B$13,ROUNDUP(Inputs!$B$4*$F13,0)),0)</f>
        <v>400</v>
      </c>
      <c r="L13" s="24">
        <f>IF($F13&gt;0,MAX(Inputs!$B$13,ROUNDUP(Inputs!$B$6*$F13,0)),0)</f>
        <v>500</v>
      </c>
      <c r="M13" s="16">
        <f t="shared" ref="M13:M33" si="3">$K13*$D13</f>
        <v>1500</v>
      </c>
      <c r="N13" s="16">
        <f t="shared" ref="N13:N33" si="4">$L13*$D13</f>
        <v>1875</v>
      </c>
      <c r="O13" s="15" t="str">
        <f>IF(Menu_Setup!E3="","",Menu_Setup!E3)</f>
        <v/>
      </c>
    </row>
    <row r="14">
      <c r="A14" s="14" t="str">
        <f>Menu_Setup!A4</f>
        <v>Coffee AM</v>
      </c>
      <c r="B14" s="15" t="str">
        <f>Menu_Setup!B4</f>
        <v>Vaso de frutas</v>
      </c>
      <c r="C14" s="14" t="str">
        <f>Menu_Setup!C4</f>
        <v>COTIZADO</v>
      </c>
      <c r="D14" s="16">
        <f>Menu_Setup!D4</f>
        <v>3.25</v>
      </c>
      <c r="E14" s="23">
        <f>Menu_Setup!F4</f>
        <v>1</v>
      </c>
      <c r="F14" s="23">
        <f>Menu_Setup!G4</f>
        <v>1</v>
      </c>
      <c r="G14" s="24">
        <f>IF($E14&gt;0,MAX(Inputs!$B$13,ROUNDUP(Inputs!$B$3*$E14,0)),0)</f>
        <v>400</v>
      </c>
      <c r="H14" s="24">
        <f>IF($E14&gt;0,MAX(Inputs!$B$13,ROUNDUP(Inputs!$B$5*$E14,0)),0)</f>
        <v>500</v>
      </c>
      <c r="I14" s="16">
        <f t="shared" si="1"/>
        <v>1300</v>
      </c>
      <c r="J14" s="16">
        <f t="shared" si="2"/>
        <v>1625</v>
      </c>
      <c r="K14" s="24">
        <f>IF($F14&gt;0,MAX(Inputs!$B$13,ROUNDUP(Inputs!$B$4*$F14,0)),0)</f>
        <v>400</v>
      </c>
      <c r="L14" s="24">
        <f>IF($F14&gt;0,MAX(Inputs!$B$13,ROUNDUP(Inputs!$B$6*$F14,0)),0)</f>
        <v>500</v>
      </c>
      <c r="M14" s="16">
        <f t="shared" si="3"/>
        <v>1300</v>
      </c>
      <c r="N14" s="16">
        <f t="shared" si="4"/>
        <v>1625</v>
      </c>
      <c r="O14" s="15" t="str">
        <f>IF(Menu_Setup!E4="","",Menu_Setup!E4)</f>
        <v/>
      </c>
    </row>
    <row r="15">
      <c r="A15" s="14" t="str">
        <f>Menu_Setup!A5</f>
        <v>Coffee AM</v>
      </c>
      <c r="B15" s="15" t="str">
        <f>Menu_Setup!B5</f>
        <v>Banana Bread</v>
      </c>
      <c r="C15" s="14" t="str">
        <f>Menu_Setup!C5</f>
        <v>COTIZADO</v>
      </c>
      <c r="D15" s="16">
        <f>Menu_Setup!D5</f>
        <v>1.25</v>
      </c>
      <c r="E15" s="23">
        <f>Menu_Setup!F5</f>
        <v>1</v>
      </c>
      <c r="F15" s="23">
        <f>Menu_Setup!G5</f>
        <v>0</v>
      </c>
      <c r="G15" s="24">
        <f>IF($E15&gt;0,MAX(Inputs!$B$13,ROUNDUP(Inputs!$B$3*$E15,0)),0)</f>
        <v>400</v>
      </c>
      <c r="H15" s="24">
        <f>IF($E15&gt;0,MAX(Inputs!$B$13,ROUNDUP(Inputs!$B$5*$E15,0)),0)</f>
        <v>500</v>
      </c>
      <c r="I15" s="16">
        <f t="shared" si="1"/>
        <v>500</v>
      </c>
      <c r="J15" s="16">
        <f t="shared" si="2"/>
        <v>625</v>
      </c>
      <c r="K15" s="24">
        <f>IF($F15&gt;0,MAX(Inputs!$B$13,ROUNDUP(Inputs!$B$4*$F15,0)),0)</f>
        <v>0</v>
      </c>
      <c r="L15" s="24">
        <f>IF($F15&gt;0,MAX(Inputs!$B$13,ROUNDUP(Inputs!$B$6*$F15,0)),0)</f>
        <v>0</v>
      </c>
      <c r="M15" s="16">
        <f t="shared" si="3"/>
        <v>0</v>
      </c>
      <c r="N15" s="16">
        <f t="shared" si="4"/>
        <v>0</v>
      </c>
      <c r="O15" s="15" t="str">
        <f>IF(Menu_Setup!E5="","",Menu_Setup!E5)</f>
        <v/>
      </c>
    </row>
    <row r="16">
      <c r="A16" s="14" t="str">
        <f>Menu_Setup!A6</f>
        <v>Coffee AM</v>
      </c>
      <c r="B16" s="15" t="str">
        <f>Menu_Setup!B6</f>
        <v>Lemon bread</v>
      </c>
      <c r="C16" s="14" t="str">
        <f>Menu_Setup!C6</f>
        <v>COTIZADO</v>
      </c>
      <c r="D16" s="16">
        <f>Menu_Setup!D6</f>
        <v>1.25</v>
      </c>
      <c r="E16" s="23">
        <f>Menu_Setup!F6</f>
        <v>0</v>
      </c>
      <c r="F16" s="23">
        <f>Menu_Setup!G6</f>
        <v>1</v>
      </c>
      <c r="G16" s="24">
        <f>IF($E16&gt;0,MAX(Inputs!$B$13,ROUNDUP(Inputs!$B$3*$E16,0)),0)</f>
        <v>0</v>
      </c>
      <c r="H16" s="24">
        <f>IF($E16&gt;0,MAX(Inputs!$B$13,ROUNDUP(Inputs!$B$5*$E16,0)),0)</f>
        <v>0</v>
      </c>
      <c r="I16" s="16">
        <f t="shared" si="1"/>
        <v>0</v>
      </c>
      <c r="J16" s="16">
        <f t="shared" si="2"/>
        <v>0</v>
      </c>
      <c r="K16" s="24">
        <f>IF($F16&gt;0,MAX(Inputs!$B$13,ROUNDUP(Inputs!$B$4*$F16,0)),0)</f>
        <v>400</v>
      </c>
      <c r="L16" s="24">
        <f>IF($F16&gt;0,MAX(Inputs!$B$13,ROUNDUP(Inputs!$B$6*$F16,0)),0)</f>
        <v>500</v>
      </c>
      <c r="M16" s="16">
        <f t="shared" si="3"/>
        <v>500</v>
      </c>
      <c r="N16" s="16">
        <f t="shared" si="4"/>
        <v>625</v>
      </c>
      <c r="O16" s="15" t="str">
        <f>IF(Menu_Setup!E6="","",Menu_Setup!E6)</f>
        <v/>
      </c>
    </row>
    <row r="17">
      <c r="A17" s="14" t="str">
        <f>Menu_Setup!A7</f>
        <v>Coffee PM</v>
      </c>
      <c r="B17" s="15" t="str">
        <f>Menu_Setup!B7</f>
        <v>Vaso de frutas</v>
      </c>
      <c r="C17" s="14" t="str">
        <f>Menu_Setup!C7</f>
        <v>COTIZADO</v>
      </c>
      <c r="D17" s="16">
        <f>Menu_Setup!D7</f>
        <v>3.25</v>
      </c>
      <c r="E17" s="23">
        <f>Menu_Setup!F7</f>
        <v>1</v>
      </c>
      <c r="F17" s="23">
        <f>Menu_Setup!G7</f>
        <v>0</v>
      </c>
      <c r="G17" s="24">
        <f>IF($E17&gt;0,MAX(Inputs!$B$13,ROUNDUP(Inputs!$B$3*$E17,0)),0)</f>
        <v>400</v>
      </c>
      <c r="H17" s="24">
        <f>IF($E17&gt;0,MAX(Inputs!$B$13,ROUNDUP(Inputs!$B$5*$E17,0)),0)</f>
        <v>500</v>
      </c>
      <c r="I17" s="16">
        <f t="shared" si="1"/>
        <v>1300</v>
      </c>
      <c r="J17" s="16">
        <f t="shared" si="2"/>
        <v>1625</v>
      </c>
      <c r="K17" s="24">
        <f>IF($F17&gt;0,MAX(Inputs!$B$13,ROUNDUP(Inputs!$B$4*$F17,0)),0)</f>
        <v>0</v>
      </c>
      <c r="L17" s="24">
        <f>IF($F17&gt;0,MAX(Inputs!$B$13,ROUNDUP(Inputs!$B$6*$F17,0)),0)</f>
        <v>0</v>
      </c>
      <c r="M17" s="16">
        <f t="shared" si="3"/>
        <v>0</v>
      </c>
      <c r="N17" s="16">
        <f t="shared" si="4"/>
        <v>0</v>
      </c>
      <c r="O17" s="15" t="str">
        <f>IF(Menu_Setup!E7="","",Menu_Setup!E7)</f>
        <v>Día 2 usa alternativa salada (ver abajo).</v>
      </c>
    </row>
    <row r="18">
      <c r="A18" s="14" t="str">
        <f>Menu_Setup!A8</f>
        <v>Coffee PM</v>
      </c>
      <c r="B18" s="15" t="str">
        <f>Menu_Setup!B8</f>
        <v>Alternativa (reemplaza vaso de frutas)</v>
      </c>
      <c r="C18" s="25" t="str">
        <f>Menu_Setup!C8</f>
        <v>PROPUESTO</v>
      </c>
      <c r="D18" s="20">
        <f>Menu_Setup!D8</f>
        <v>3.25</v>
      </c>
      <c r="E18" s="23">
        <f>Menu_Setup!F8</f>
        <v>0</v>
      </c>
      <c r="F18" s="23">
        <f>Menu_Setup!G8</f>
        <v>1</v>
      </c>
      <c r="G18" s="24">
        <f>IF($E18&gt;0,MAX(Inputs!$B$13,ROUNDUP(Inputs!$B$3*$E18,0)),0)</f>
        <v>0</v>
      </c>
      <c r="H18" s="24">
        <f>IF($E18&gt;0,MAX(Inputs!$B$13,ROUNDUP(Inputs!$B$5*$E18,0)),0)</f>
        <v>0</v>
      </c>
      <c r="I18" s="16">
        <f t="shared" si="1"/>
        <v>0</v>
      </c>
      <c r="J18" s="16">
        <f t="shared" si="2"/>
        <v>0</v>
      </c>
      <c r="K18" s="24">
        <f>IF($F18&gt;0,MAX(Inputs!$B$13,ROUNDUP(Inputs!$B$4*$F18,0)),0)</f>
        <v>400</v>
      </c>
      <c r="L18" s="24">
        <f>IF($F18&gt;0,MAX(Inputs!$B$13,ROUNDUP(Inputs!$B$6*$F18,0)),0)</f>
        <v>500</v>
      </c>
      <c r="M18" s="16">
        <f t="shared" si="3"/>
        <v>1300</v>
      </c>
      <c r="N18" s="16">
        <f t="shared" si="4"/>
        <v>1625</v>
      </c>
      <c r="O18" s="15" t="str">
        <f>IF(Menu_Setup!E8="","",Menu_Setup!E8)</f>
        <v>Ejemplos: vaso caprese / tabulé . Mantener $3.25.</v>
      </c>
    </row>
    <row r="19">
      <c r="A19" s="14" t="str">
        <f>Menu_Setup!A9</f>
        <v>Coffee PM</v>
      </c>
      <c r="B19" s="15" t="str">
        <f>Menu_Setup!B9</f>
        <v>Vaso de hummus con vegetales</v>
      </c>
      <c r="C19" s="14" t="str">
        <f>Menu_Setup!C9</f>
        <v>COTIZADO</v>
      </c>
      <c r="D19" s="16">
        <f>Menu_Setup!D9</f>
        <v>3</v>
      </c>
      <c r="E19" s="23">
        <f>Menu_Setup!F9</f>
        <v>1</v>
      </c>
      <c r="F19" s="23">
        <f>Menu_Setup!G9</f>
        <v>1</v>
      </c>
      <c r="G19" s="24">
        <f>IF($E19&gt;0,MAX(Inputs!$B$13,ROUNDUP(Inputs!$B$3*$E19,0)),0)</f>
        <v>400</v>
      </c>
      <c r="H19" s="24">
        <f>IF($E19&gt;0,MAX(Inputs!$B$13,ROUNDUP(Inputs!$B$5*$E19,0)),0)</f>
        <v>500</v>
      </c>
      <c r="I19" s="16">
        <f t="shared" si="1"/>
        <v>1200</v>
      </c>
      <c r="J19" s="16">
        <f t="shared" si="2"/>
        <v>1500</v>
      </c>
      <c r="K19" s="24">
        <f>IF($F19&gt;0,MAX(Inputs!$B$13,ROUNDUP(Inputs!$B$4*$F19,0)),0)</f>
        <v>400</v>
      </c>
      <c r="L19" s="24">
        <f>IF($F19&gt;0,MAX(Inputs!$B$13,ROUNDUP(Inputs!$B$6*$F19,0)),0)</f>
        <v>500</v>
      </c>
      <c r="M19" s="16">
        <f t="shared" si="3"/>
        <v>1200</v>
      </c>
      <c r="N19" s="16">
        <f t="shared" si="4"/>
        <v>1500</v>
      </c>
      <c r="O19" s="15" t="str">
        <f>IF(Menu_Setup!E9="","",Menu_Setup!E9)</f>
        <v/>
      </c>
    </row>
    <row r="20">
      <c r="A20" s="14" t="str">
        <f>Menu_Setup!A10</f>
        <v>Coffee PM</v>
      </c>
      <c r="B20" s="15" t="str">
        <f>Menu_Setup!B10</f>
        <v>Lemon bread</v>
      </c>
      <c r="C20" s="14" t="str">
        <f>Menu_Setup!C10</f>
        <v>COTIZADO</v>
      </c>
      <c r="D20" s="16">
        <f>Menu_Setup!D10</f>
        <v>1.25</v>
      </c>
      <c r="E20" s="23">
        <f>Menu_Setup!F10</f>
        <v>1</v>
      </c>
      <c r="F20" s="23">
        <f>Menu_Setup!G10</f>
        <v>0</v>
      </c>
      <c r="G20" s="24">
        <f>IF($E20&gt;0,MAX(Inputs!$B$13,ROUNDUP(Inputs!$B$3*$E20,0)),0)</f>
        <v>400</v>
      </c>
      <c r="H20" s="24">
        <f>IF($E20&gt;0,MAX(Inputs!$B$13,ROUNDUP(Inputs!$B$5*$E20,0)),0)</f>
        <v>500</v>
      </c>
      <c r="I20" s="16">
        <f t="shared" si="1"/>
        <v>500</v>
      </c>
      <c r="J20" s="16">
        <f t="shared" si="2"/>
        <v>625</v>
      </c>
      <c r="K20" s="24">
        <f>IF($F20&gt;0,MAX(Inputs!$B$13,ROUNDUP(Inputs!$B$4*$F20,0)),0)</f>
        <v>0</v>
      </c>
      <c r="L20" s="24">
        <f>IF($F20&gt;0,MAX(Inputs!$B$13,ROUNDUP(Inputs!$B$6*$F20,0)),0)</f>
        <v>0</v>
      </c>
      <c r="M20" s="16">
        <f t="shared" si="3"/>
        <v>0</v>
      </c>
      <c r="N20" s="16">
        <f t="shared" si="4"/>
        <v>0</v>
      </c>
      <c r="O20" s="15" t="str">
        <f>IF(Menu_Setup!E10="","",Menu_Setup!E10)</f>
        <v/>
      </c>
    </row>
    <row r="21" ht="15.75" customHeight="1">
      <c r="A21" s="14" t="str">
        <f>Menu_Setup!A11</f>
        <v>Coffee PM</v>
      </c>
      <c r="B21" s="15" t="str">
        <f>Menu_Setup!B11</f>
        <v>Banana Bread</v>
      </c>
      <c r="C21" s="14" t="str">
        <f>Menu_Setup!C11</f>
        <v>COTIZADO</v>
      </c>
      <c r="D21" s="16">
        <f>Menu_Setup!D11</f>
        <v>1.25</v>
      </c>
      <c r="E21" s="23">
        <f>Menu_Setup!F11</f>
        <v>0</v>
      </c>
      <c r="F21" s="23">
        <f>Menu_Setup!G11</f>
        <v>1</v>
      </c>
      <c r="G21" s="24">
        <f>IF($E21&gt;0,MAX(Inputs!$B$13,ROUNDUP(Inputs!$B$3*$E21,0)),0)</f>
        <v>0</v>
      </c>
      <c r="H21" s="24">
        <f>IF($E21&gt;0,MAX(Inputs!$B$13,ROUNDUP(Inputs!$B$5*$E21,0)),0)</f>
        <v>0</v>
      </c>
      <c r="I21" s="16">
        <f t="shared" si="1"/>
        <v>0</v>
      </c>
      <c r="J21" s="16">
        <f t="shared" si="2"/>
        <v>0</v>
      </c>
      <c r="K21" s="24">
        <f>IF($F21&gt;0,MAX(Inputs!$B$13,ROUNDUP(Inputs!$B$4*$F21,0)),0)</f>
        <v>400</v>
      </c>
      <c r="L21" s="24">
        <f>IF($F21&gt;0,MAX(Inputs!$B$13,ROUNDUP(Inputs!$B$6*$F21,0)),0)</f>
        <v>500</v>
      </c>
      <c r="M21" s="16">
        <f t="shared" si="3"/>
        <v>500</v>
      </c>
      <c r="N21" s="16">
        <f t="shared" si="4"/>
        <v>625</v>
      </c>
      <c r="O21" s="15" t="str">
        <f>IF(Menu_Setup!E11="","",Menu_Setup!E11)</f>
        <v/>
      </c>
    </row>
    <row r="22" ht="15.75" customHeight="1">
      <c r="A22" s="14" t="str">
        <f>Menu_Setup!A12</f>
        <v>Lunch Regular</v>
      </c>
      <c r="B22" s="15" t="str">
        <f>Menu_Setup!B12</f>
        <v>Focaccia BLT</v>
      </c>
      <c r="C22" s="14" t="str">
        <f>Menu_Setup!C12</f>
        <v>COTIZADO</v>
      </c>
      <c r="D22" s="16">
        <f>Menu_Setup!D12</f>
        <v>8.5</v>
      </c>
      <c r="E22" s="23">
        <f>Menu_Setup!F12</f>
        <v>0.3</v>
      </c>
      <c r="F22" s="23">
        <f>Menu_Setup!G12</f>
        <v>0</v>
      </c>
      <c r="G22" s="24">
        <f>IF($E22&gt;0,MAX(Inputs!$B$13,ROUNDUP(Inputs!$B$3*$E22,0)),0)</f>
        <v>120</v>
      </c>
      <c r="H22" s="24">
        <f>IF($E22&gt;0,MAX(Inputs!$B$13,ROUNDUP(Inputs!$B$5*$E22,0)),0)</f>
        <v>150</v>
      </c>
      <c r="I22" s="16">
        <f t="shared" si="1"/>
        <v>1020</v>
      </c>
      <c r="J22" s="16">
        <f t="shared" si="2"/>
        <v>1275</v>
      </c>
      <c r="K22" s="24">
        <f>IF($F22&gt;0,MAX(Inputs!$B$13,ROUNDUP(Inputs!$B$4*$F22,0)),0)</f>
        <v>0</v>
      </c>
      <c r="L22" s="24">
        <f>IF($F22&gt;0,MAX(Inputs!$B$13,ROUNDUP(Inputs!$B$6*$F22,0)),0)</f>
        <v>0</v>
      </c>
      <c r="M22" s="16">
        <f t="shared" si="3"/>
        <v>0</v>
      </c>
      <c r="N22" s="16">
        <f t="shared" si="4"/>
        <v>0</v>
      </c>
      <c r="O22" s="15" t="str">
        <f>IF(Menu_Setup!E12="","",Menu_Setup!E12)</f>
        <v>Día 1</v>
      </c>
    </row>
    <row r="23" ht="15.75" customHeight="1">
      <c r="A23" s="14" t="str">
        <f>Menu_Setup!A13</f>
        <v>Lunch Regular</v>
      </c>
      <c r="B23" s="15" t="str">
        <f>Menu_Setup!B13</f>
        <v>Ensalada Cobb</v>
      </c>
      <c r="C23" s="14" t="str">
        <f>Menu_Setup!C13</f>
        <v>COTIZADO</v>
      </c>
      <c r="D23" s="16">
        <f>Menu_Setup!D13</f>
        <v>8.5</v>
      </c>
      <c r="E23" s="23">
        <f>Menu_Setup!F13</f>
        <v>0.3</v>
      </c>
      <c r="F23" s="23">
        <f>Menu_Setup!G13</f>
        <v>0</v>
      </c>
      <c r="G23" s="24">
        <f>IF($E23&gt;0,MAX(Inputs!$B$13,ROUNDUP(Inputs!$B$3*$E23,0)),0)</f>
        <v>120</v>
      </c>
      <c r="H23" s="24">
        <f>IF($E23&gt;0,MAX(Inputs!$B$13,ROUNDUP(Inputs!$B$5*$E23,0)),0)</f>
        <v>150</v>
      </c>
      <c r="I23" s="16">
        <f t="shared" si="1"/>
        <v>1020</v>
      </c>
      <c r="J23" s="16">
        <f t="shared" si="2"/>
        <v>1275</v>
      </c>
      <c r="K23" s="24">
        <f>IF($F23&gt;0,MAX(Inputs!$B$13,ROUNDUP(Inputs!$B$4*$F23,0)),0)</f>
        <v>0</v>
      </c>
      <c r="L23" s="24">
        <f>IF($F23&gt;0,MAX(Inputs!$B$13,ROUNDUP(Inputs!$B$6*$F23,0)),0)</f>
        <v>0</v>
      </c>
      <c r="M23" s="16">
        <f t="shared" si="3"/>
        <v>0</v>
      </c>
      <c r="N23" s="16">
        <f t="shared" si="4"/>
        <v>0</v>
      </c>
      <c r="O23" s="15" t="str">
        <f>IF(Menu_Setup!E13="","",Menu_Setup!E13)</f>
        <v>Día 1</v>
      </c>
    </row>
    <row r="24" ht="15.75" customHeight="1">
      <c r="A24" s="14" t="str">
        <f>Menu_Setup!A14</f>
        <v>Lunch Regular</v>
      </c>
      <c r="B24" s="15" t="str">
        <f>Menu_Setup!B14</f>
        <v>Wrap de pollo</v>
      </c>
      <c r="C24" s="14" t="str">
        <f>Menu_Setup!C14</f>
        <v>COTIZADO</v>
      </c>
      <c r="D24" s="16">
        <f>Menu_Setup!D14</f>
        <v>8</v>
      </c>
      <c r="E24" s="23">
        <f>Menu_Setup!F14</f>
        <v>0.25</v>
      </c>
      <c r="F24" s="23">
        <f>Menu_Setup!G14</f>
        <v>0</v>
      </c>
      <c r="G24" s="24">
        <f>IF($E24&gt;0,MAX(Inputs!$B$13,ROUNDUP(Inputs!$B$3*$E24,0)),0)</f>
        <v>100</v>
      </c>
      <c r="H24" s="24">
        <f>IF($E24&gt;0,MAX(Inputs!$B$13,ROUNDUP(Inputs!$B$5*$E24,0)),0)</f>
        <v>125</v>
      </c>
      <c r="I24" s="16">
        <f t="shared" si="1"/>
        <v>800</v>
      </c>
      <c r="J24" s="16">
        <f t="shared" si="2"/>
        <v>1000</v>
      </c>
      <c r="K24" s="24">
        <f>IF($F24&gt;0,MAX(Inputs!$B$13,ROUNDUP(Inputs!$B$4*$F24,0)),0)</f>
        <v>0</v>
      </c>
      <c r="L24" s="24">
        <f>IF($F24&gt;0,MAX(Inputs!$B$13,ROUNDUP(Inputs!$B$6*$F24,0)),0)</f>
        <v>0</v>
      </c>
      <c r="M24" s="16">
        <f t="shared" si="3"/>
        <v>0</v>
      </c>
      <c r="N24" s="16">
        <f t="shared" si="4"/>
        <v>0</v>
      </c>
      <c r="O24" s="15" t="str">
        <f>IF(Menu_Setup!E14="","",Menu_Setup!E14)</f>
        <v>Día 1</v>
      </c>
    </row>
    <row r="25" ht="15.75" customHeight="1">
      <c r="A25" s="14" t="str">
        <f>Menu_Setup!A15</f>
        <v>Lunch Regular</v>
      </c>
      <c r="B25" s="15" t="str">
        <f>Menu_Setup!B15</f>
        <v>Opcion 1 Menu Dia 2 </v>
      </c>
      <c r="C25" s="25" t="str">
        <f>Menu_Setup!C15</f>
        <v>PROPUESTO</v>
      </c>
      <c r="D25" s="20">
        <f>Menu_Setup!D15</f>
        <v>8.5</v>
      </c>
      <c r="E25" s="23">
        <f>Menu_Setup!F15</f>
        <v>0</v>
      </c>
      <c r="F25" s="23">
        <f>Menu_Setup!G15</f>
        <v>0.3</v>
      </c>
      <c r="G25" s="24">
        <f>IF($E25&gt;0,MAX(Inputs!$B$13,ROUNDUP(Inputs!$B$3*$E25,0)),0)</f>
        <v>0</v>
      </c>
      <c r="H25" s="24">
        <f>IF($E25&gt;0,MAX(Inputs!$B$13,ROUNDUP(Inputs!$B$5*$E25,0)),0)</f>
        <v>0</v>
      </c>
      <c r="I25" s="16">
        <f t="shared" si="1"/>
        <v>0</v>
      </c>
      <c r="J25" s="16">
        <f t="shared" si="2"/>
        <v>0</v>
      </c>
      <c r="K25" s="24">
        <f>IF($F25&gt;0,MAX(Inputs!$B$13,ROUNDUP(Inputs!$B$4*$F25,0)),0)</f>
        <v>120</v>
      </c>
      <c r="L25" s="24">
        <f>IF($F25&gt;0,MAX(Inputs!$B$13,ROUNDUP(Inputs!$B$6*$F25,0)),0)</f>
        <v>150</v>
      </c>
      <c r="M25" s="16">
        <f t="shared" si="3"/>
        <v>1020</v>
      </c>
      <c r="N25" s="16">
        <f t="shared" si="4"/>
        <v>1275</v>
      </c>
      <c r="O25" s="15" t="str">
        <f>IF(Menu_Setup!E15="","",Menu_Setup!E15)</f>
        <v>Propuesta 2º día (pendiente cotizar).</v>
      </c>
    </row>
    <row r="26" ht="15.75" customHeight="1">
      <c r="A26" s="14" t="str">
        <f>Menu_Setup!A16</f>
        <v>Lunch Regular</v>
      </c>
      <c r="B26" s="15" t="str">
        <f>Menu_Setup!B16</f>
        <v>Opcion 2  Menu Dia 2 </v>
      </c>
      <c r="C26" s="25" t="str">
        <f>Menu_Setup!C16</f>
        <v>PROPUESTO</v>
      </c>
      <c r="D26" s="20">
        <f>Menu_Setup!D16</f>
        <v>8.5</v>
      </c>
      <c r="E26" s="23">
        <f>Menu_Setup!F16</f>
        <v>0</v>
      </c>
      <c r="F26" s="23">
        <f>Menu_Setup!G16</f>
        <v>0.3</v>
      </c>
      <c r="G26" s="24">
        <f>IF($E26&gt;0,MAX(Inputs!$B$13,ROUNDUP(Inputs!$B$3*$E26,0)),0)</f>
        <v>0</v>
      </c>
      <c r="H26" s="24">
        <f>IF($E26&gt;0,MAX(Inputs!$B$13,ROUNDUP(Inputs!$B$5*$E26,0)),0)</f>
        <v>0</v>
      </c>
      <c r="I26" s="16">
        <f t="shared" si="1"/>
        <v>0</v>
      </c>
      <c r="J26" s="16">
        <f t="shared" si="2"/>
        <v>0</v>
      </c>
      <c r="K26" s="24">
        <f>IF($F26&gt;0,MAX(Inputs!$B$13,ROUNDUP(Inputs!$B$4*$F26,0)),0)</f>
        <v>120</v>
      </c>
      <c r="L26" s="24">
        <f>IF($F26&gt;0,MAX(Inputs!$B$13,ROUNDUP(Inputs!$B$6*$F26,0)),0)</f>
        <v>150</v>
      </c>
      <c r="M26" s="16">
        <f t="shared" si="3"/>
        <v>1020</v>
      </c>
      <c r="N26" s="16">
        <f t="shared" si="4"/>
        <v>1275</v>
      </c>
      <c r="O26" s="15" t="str">
        <f>IF(Menu_Setup!E16="","",Menu_Setup!E16)</f>
        <v>Propuesta 2º día (pendiente cotizar).</v>
      </c>
    </row>
    <row r="27" ht="15.75" customHeight="1">
      <c r="A27" s="14" t="str">
        <f>Menu_Setup!A17</f>
        <v>Lunch Regular</v>
      </c>
      <c r="B27" s="15" t="str">
        <f>Menu_Setup!B17</f>
        <v>Opcion 3  Menu Dia 2</v>
      </c>
      <c r="C27" s="25" t="str">
        <f>Menu_Setup!C17</f>
        <v>PROPUESTO</v>
      </c>
      <c r="D27" s="20">
        <f>Menu_Setup!D17</f>
        <v>8.5</v>
      </c>
      <c r="E27" s="23">
        <f>Menu_Setup!F17</f>
        <v>0</v>
      </c>
      <c r="F27" s="23">
        <f>Menu_Setup!G17</f>
        <v>0.25</v>
      </c>
      <c r="G27" s="24">
        <f>IF($E27&gt;0,MAX(Inputs!$B$13,ROUNDUP(Inputs!$B$3*$E27,0)),0)</f>
        <v>0</v>
      </c>
      <c r="H27" s="24">
        <f>IF($E27&gt;0,MAX(Inputs!$B$13,ROUNDUP(Inputs!$B$5*$E27,0)),0)</f>
        <v>0</v>
      </c>
      <c r="I27" s="16">
        <f t="shared" si="1"/>
        <v>0</v>
      </c>
      <c r="J27" s="16">
        <f t="shared" si="2"/>
        <v>0</v>
      </c>
      <c r="K27" s="24">
        <f>IF($F27&gt;0,MAX(Inputs!$B$13,ROUNDUP(Inputs!$B$4*$F27,0)),0)</f>
        <v>100</v>
      </c>
      <c r="L27" s="24">
        <f>IF($F27&gt;0,MAX(Inputs!$B$13,ROUNDUP(Inputs!$B$6*$F27,0)),0)</f>
        <v>125</v>
      </c>
      <c r="M27" s="16">
        <f t="shared" si="3"/>
        <v>850</v>
      </c>
      <c r="N27" s="16">
        <f t="shared" si="4"/>
        <v>1062.5</v>
      </c>
      <c r="O27" s="15" t="str">
        <f>IF(Menu_Setup!E17="","",Menu_Setup!E17)</f>
        <v>Propuesta 2º día (pendiente cotizar).</v>
      </c>
    </row>
    <row r="28" ht="15.75" customHeight="1">
      <c r="A28" s="14" t="str">
        <f>Menu_Setup!A18</f>
        <v>Lunch Veg</v>
      </c>
      <c r="B28" s="15" t="str">
        <f>Menu_Setup!B18</f>
        <v>Wrap de falafel</v>
      </c>
      <c r="C28" s="14" t="str">
        <f>Menu_Setup!C18</f>
        <v>COTIZADO</v>
      </c>
      <c r="D28" s="16">
        <f>Menu_Setup!D18</f>
        <v>7</v>
      </c>
      <c r="E28" s="23">
        <f>Menu_Setup!F18</f>
        <v>0.1</v>
      </c>
      <c r="F28" s="23">
        <f>Menu_Setup!G18</f>
        <v>0</v>
      </c>
      <c r="G28" s="24">
        <f>IF($E28&gt;0,MAX(Inputs!$B$13,ROUNDUP(Inputs!$B$3*$E28,0)),0)</f>
        <v>40</v>
      </c>
      <c r="H28" s="24">
        <f>IF($E28&gt;0,MAX(Inputs!$B$13,ROUNDUP(Inputs!$B$5*$E28,0)),0)</f>
        <v>50</v>
      </c>
      <c r="I28" s="16">
        <f t="shared" si="1"/>
        <v>280</v>
      </c>
      <c r="J28" s="16">
        <f t="shared" si="2"/>
        <v>350</v>
      </c>
      <c r="K28" s="24">
        <f>IF($F28&gt;0,MAX(Inputs!$B$13,ROUNDUP(Inputs!$B$4*$F28,0)),0)</f>
        <v>0</v>
      </c>
      <c r="L28" s="24">
        <f>IF($F28&gt;0,MAX(Inputs!$B$13,ROUNDUP(Inputs!$B$6*$F28,0)),0)</f>
        <v>0</v>
      </c>
      <c r="M28" s="16">
        <f t="shared" si="3"/>
        <v>0</v>
      </c>
      <c r="N28" s="16">
        <f t="shared" si="4"/>
        <v>0</v>
      </c>
      <c r="O28" s="15" t="str">
        <f>IF(Menu_Setup!E18="","",Menu_Setup!E18)</f>
        <v>Día 1</v>
      </c>
    </row>
    <row r="29" ht="15.75" customHeight="1">
      <c r="A29" s="14" t="str">
        <f>Menu_Setup!A19</f>
        <v>Lunch Veg</v>
      </c>
      <c r="B29" s="15" t="str">
        <f>Menu_Setup!B19</f>
        <v>Focaccia Vegetariano</v>
      </c>
      <c r="C29" s="14" t="str">
        <f>Menu_Setup!C19</f>
        <v>COTIZADO</v>
      </c>
      <c r="D29" s="16">
        <f>Menu_Setup!D19</f>
        <v>8.5</v>
      </c>
      <c r="E29" s="23">
        <f>Menu_Setup!F19</f>
        <v>0.05</v>
      </c>
      <c r="F29" s="23">
        <f>Menu_Setup!G19</f>
        <v>0</v>
      </c>
      <c r="G29" s="24">
        <f>IF($E29&gt;0,MAX(Inputs!$B$13,ROUNDUP(Inputs!$B$3*$E29,0)),0)</f>
        <v>20</v>
      </c>
      <c r="H29" s="24">
        <f>IF($E29&gt;0,MAX(Inputs!$B$13,ROUNDUP(Inputs!$B$5*$E29,0)),0)</f>
        <v>25</v>
      </c>
      <c r="I29" s="16">
        <f t="shared" si="1"/>
        <v>170</v>
      </c>
      <c r="J29" s="16">
        <f t="shared" si="2"/>
        <v>212.5</v>
      </c>
      <c r="K29" s="24">
        <f>IF($F29&gt;0,MAX(Inputs!$B$13,ROUNDUP(Inputs!$B$4*$F29,0)),0)</f>
        <v>0</v>
      </c>
      <c r="L29" s="24">
        <f>IF($F29&gt;0,MAX(Inputs!$B$13,ROUNDUP(Inputs!$B$6*$F29,0)),0)</f>
        <v>0</v>
      </c>
      <c r="M29" s="16">
        <f t="shared" si="3"/>
        <v>0</v>
      </c>
      <c r="N29" s="16">
        <f t="shared" si="4"/>
        <v>0</v>
      </c>
      <c r="O29" s="15" t="str">
        <f>IF(Menu_Setup!E19="","",Menu_Setup!E19)</f>
        <v>Día 1</v>
      </c>
    </row>
    <row r="30" ht="15.75" customHeight="1">
      <c r="A30" s="14" t="str">
        <f>Menu_Setup!A20</f>
        <v>Lunch Veg</v>
      </c>
      <c r="B30" s="15" t="str">
        <f>Menu_Setup!B20</f>
        <v>Opcion 1 Vegetariano Menu Dia 2 </v>
      </c>
      <c r="C30" s="25" t="str">
        <f>Menu_Setup!C20</f>
        <v>PROPUESTO</v>
      </c>
      <c r="D30" s="20">
        <f>Menu_Setup!D20</f>
        <v>8</v>
      </c>
      <c r="E30" s="23">
        <f>Menu_Setup!F20</f>
        <v>0</v>
      </c>
      <c r="F30" s="23">
        <f>Menu_Setup!G20</f>
        <v>0.08</v>
      </c>
      <c r="G30" s="24">
        <f>IF($E30&gt;0,MAX(Inputs!$B$13,ROUNDUP(Inputs!$B$3*$E30,0)),0)</f>
        <v>0</v>
      </c>
      <c r="H30" s="24">
        <f>IF($E30&gt;0,MAX(Inputs!$B$13,ROUNDUP(Inputs!$B$5*$E30,0)),0)</f>
        <v>0</v>
      </c>
      <c r="I30" s="16">
        <f t="shared" si="1"/>
        <v>0</v>
      </c>
      <c r="J30" s="16">
        <f t="shared" si="2"/>
        <v>0</v>
      </c>
      <c r="K30" s="24">
        <f>IF($F30&gt;0,MAX(Inputs!$B$13,ROUNDUP(Inputs!$B$4*$F30,0)),0)</f>
        <v>32</v>
      </c>
      <c r="L30" s="24">
        <f>IF($F30&gt;0,MAX(Inputs!$B$13,ROUNDUP(Inputs!$B$6*$F30,0)),0)</f>
        <v>40</v>
      </c>
      <c r="M30" s="16">
        <f t="shared" si="3"/>
        <v>256</v>
      </c>
      <c r="N30" s="16">
        <f t="shared" si="4"/>
        <v>320</v>
      </c>
      <c r="O30" s="15" t="str">
        <f>IF(Menu_Setup!E20="","",Menu_Setup!E20)</f>
        <v>Propuesta 2º día (pendiente cotizar).</v>
      </c>
    </row>
    <row r="31" ht="15.75" customHeight="1">
      <c r="A31" s="14" t="str">
        <f>Menu_Setup!A21</f>
        <v>Lunch Veg</v>
      </c>
      <c r="B31" s="15" t="str">
        <f>Menu_Setup!B21</f>
        <v>Opcion 2 Vegetariano Menu Dia 2 </v>
      </c>
      <c r="C31" s="25" t="str">
        <f>Menu_Setup!C21</f>
        <v>PROPUESTO</v>
      </c>
      <c r="D31" s="20">
        <f>Menu_Setup!D21</f>
        <v>8.5</v>
      </c>
      <c r="E31" s="23">
        <f>Menu_Setup!F21</f>
        <v>0</v>
      </c>
      <c r="F31" s="23">
        <f>Menu_Setup!G21</f>
        <v>0.07</v>
      </c>
      <c r="G31" s="24">
        <f>IF($E31&gt;0,MAX(Inputs!$B$13,ROUNDUP(Inputs!$B$3*$E31,0)),0)</f>
        <v>0</v>
      </c>
      <c r="H31" s="24">
        <f>IF($E31&gt;0,MAX(Inputs!$B$13,ROUNDUP(Inputs!$B$5*$E31,0)),0)</f>
        <v>0</v>
      </c>
      <c r="I31" s="16">
        <f t="shared" si="1"/>
        <v>0</v>
      </c>
      <c r="J31" s="16">
        <f t="shared" si="2"/>
        <v>0</v>
      </c>
      <c r="K31" s="24">
        <f>IF($F31&gt;0,MAX(Inputs!$B$13,ROUNDUP(Inputs!$B$4*$F31,0)),0)</f>
        <v>28</v>
      </c>
      <c r="L31" s="24">
        <f>IF($F31&gt;0,MAX(Inputs!$B$13,ROUNDUP(Inputs!$B$6*$F31,0)),0)</f>
        <v>35</v>
      </c>
      <c r="M31" s="16">
        <f t="shared" si="3"/>
        <v>238</v>
      </c>
      <c r="N31" s="16">
        <f t="shared" si="4"/>
        <v>297.5</v>
      </c>
      <c r="O31" s="15" t="str">
        <f>IF(Menu_Setup!E21="","",Menu_Setup!E21)</f>
        <v>Propuesta 2º día (pendiente cotizar).</v>
      </c>
    </row>
    <row r="32" ht="15.75" customHeight="1">
      <c r="A32" s="14" t="str">
        <f>Menu_Setup!A22</f>
        <v>Coffee AM</v>
      </c>
      <c r="B32" s="15" t="str">
        <f>Menu_Setup!B22</f>
        <v>Vaso de hummus con vegetales</v>
      </c>
      <c r="C32" s="14" t="str">
        <f>Menu_Setup!C22</f>
        <v>COTIZADO</v>
      </c>
      <c r="D32" s="16">
        <f>Menu_Setup!D22</f>
        <v>3</v>
      </c>
      <c r="E32" s="23">
        <f>Menu_Setup!F22</f>
        <v>0</v>
      </c>
      <c r="F32" s="23">
        <f>Menu_Setup!G22</f>
        <v>0</v>
      </c>
      <c r="G32" s="24">
        <f>IF($E32&gt;0,MAX(Inputs!$B$13,ROUNDUP(Inputs!$B$3*$E32,0)),0)</f>
        <v>0</v>
      </c>
      <c r="H32" s="24">
        <f>IF($E32&gt;0,MAX(Inputs!$B$13,ROUNDUP(Inputs!$B$5*$E32,0)),0)</f>
        <v>0</v>
      </c>
      <c r="I32" s="16">
        <f t="shared" si="1"/>
        <v>0</v>
      </c>
      <c r="J32" s="16">
        <f t="shared" si="2"/>
        <v>0</v>
      </c>
      <c r="K32" s="24">
        <f>IF($F32&gt;0,MAX(Inputs!$B$13,ROUNDUP(Inputs!$B$4*$F32,0)),0)</f>
        <v>0</v>
      </c>
      <c r="L32" s="24">
        <f>IF($F32&gt;0,MAX(Inputs!$B$13,ROUNDUP(Inputs!$B$6*$F32,0)),0)</f>
        <v>0</v>
      </c>
      <c r="M32" s="16">
        <f t="shared" si="3"/>
        <v>0</v>
      </c>
      <c r="N32" s="16">
        <f t="shared" si="4"/>
        <v>0</v>
      </c>
      <c r="O32" s="15" t="str">
        <f>IF(Menu_Setup!E22="","",Menu_Setup!E22)</f>
        <v>Opcional para variar AM.</v>
      </c>
    </row>
    <row r="33" ht="15.75" customHeight="1">
      <c r="A33" s="14" t="str">
        <f>Menu_Setup!A23</f>
        <v>Coffee PM</v>
      </c>
      <c r="B33" s="15" t="str">
        <f>Menu_Setup!B23</f>
        <v>Parfait de frutos del bosque y yogurt griego</v>
      </c>
      <c r="C33" s="14" t="str">
        <f>Menu_Setup!C23</f>
        <v>COTIZADO</v>
      </c>
      <c r="D33" s="16">
        <f>Menu_Setup!D23</f>
        <v>3.75</v>
      </c>
      <c r="E33" s="23">
        <f>Menu_Setup!F23</f>
        <v>0</v>
      </c>
      <c r="F33" s="23">
        <f>Menu_Setup!G23</f>
        <v>0</v>
      </c>
      <c r="G33" s="24">
        <f>IF($E33&gt;0,MAX(Inputs!$B$13,ROUNDUP(Inputs!$B$3*$E33,0)),0)</f>
        <v>0</v>
      </c>
      <c r="H33" s="24">
        <f>IF($E33&gt;0,MAX(Inputs!$B$13,ROUNDUP(Inputs!$B$5*$E33,0)),0)</f>
        <v>0</v>
      </c>
      <c r="I33" s="16">
        <f t="shared" si="1"/>
        <v>0</v>
      </c>
      <c r="J33" s="16">
        <f t="shared" si="2"/>
        <v>0</v>
      </c>
      <c r="K33" s="24">
        <f>IF($F33&gt;0,MAX(Inputs!$B$13,ROUNDUP(Inputs!$B$4*$F33,0)),0)</f>
        <v>0</v>
      </c>
      <c r="L33" s="24">
        <f>IF($F33&gt;0,MAX(Inputs!$B$13,ROUNDUP(Inputs!$B$6*$F33,0)),0)</f>
        <v>0</v>
      </c>
      <c r="M33" s="16">
        <f t="shared" si="3"/>
        <v>0</v>
      </c>
      <c r="N33" s="16">
        <f t="shared" si="4"/>
        <v>0</v>
      </c>
      <c r="O33" s="15" t="str">
        <f>IF(Menu_Setup!E23="","",Menu_Setup!E23)</f>
        <v>Opcional para variar PM.</v>
      </c>
    </row>
    <row r="34" ht="15.75" customHeight="1"/>
    <row r="35" ht="15.75" customHeight="1"/>
    <row r="36" ht="15.75" customHeight="1">
      <c r="A36" s="11" t="s">
        <v>84</v>
      </c>
    </row>
    <row r="37" ht="15.75" customHeight="1">
      <c r="A37" s="4" t="s">
        <v>85</v>
      </c>
      <c r="B37" s="26">
        <f>SUM(I13:I33)</f>
        <v>9590</v>
      </c>
      <c r="D37" s="4" t="s">
        <v>86</v>
      </c>
      <c r="E37" s="26">
        <f>SUM(J13:J33)</f>
        <v>11987.5</v>
      </c>
    </row>
    <row r="38" ht="15.75" customHeight="1">
      <c r="A38" s="4" t="s">
        <v>87</v>
      </c>
      <c r="B38" s="26">
        <f>SUM(M13:M33)</f>
        <v>9684</v>
      </c>
      <c r="D38" s="4" t="s">
        <v>88</v>
      </c>
      <c r="E38" s="26">
        <f>SUM(N13:N33)</f>
        <v>12105</v>
      </c>
    </row>
    <row r="39" ht="15.75" customHeight="1"/>
    <row r="40" ht="15.75" customHeight="1">
      <c r="A40" s="4" t="s">
        <v>89</v>
      </c>
      <c r="B40" s="26">
        <f>Inputs!B15*Inputs!B16</f>
        <v>900</v>
      </c>
      <c r="D40" s="4" t="s">
        <v>90</v>
      </c>
      <c r="E40" s="26">
        <f>Inputs!B15*Inputs!B16</f>
        <v>900</v>
      </c>
    </row>
    <row r="41" ht="15.75" customHeight="1"/>
    <row r="42" ht="15.75" customHeight="1">
      <c r="A42" s="27" t="s">
        <v>91</v>
      </c>
      <c r="B42" s="28">
        <f>B37+B38+B40</f>
        <v>20174</v>
      </c>
      <c r="D42" s="27" t="s">
        <v>92</v>
      </c>
      <c r="E42" s="28">
        <f>E37+E38+E40</f>
        <v>24992.5</v>
      </c>
    </row>
    <row r="43" ht="15.75" customHeight="1">
      <c r="B43" s="29">
        <f>B42/400</f>
        <v>50.435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Q1"/>
  </mergeCells>
  <printOptions/>
  <pageMargins bottom="0.75" footer="0.0" header="0.0" left="0.7" right="0.7" top="0.75"/>
  <pageSetup orientation="landscape"/>
  <drawing r:id="rId1"/>
</worksheet>
</file>
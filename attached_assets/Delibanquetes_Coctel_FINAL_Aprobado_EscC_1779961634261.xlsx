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puts" sheetId="1" state="visible" r:id="rId1"/>
    <sheet xmlns:r="http://schemas.openxmlformats.org/officeDocument/2006/relationships" name="Menu_Setup" sheetId="2" state="visible" r:id="rId2"/>
    <sheet xmlns:r="http://schemas.openxmlformats.org/officeDocument/2006/relationships" name="Orden_y_Costos" sheetId="3" state="visible" r:id="rId3"/>
  </sheets>
  <definedNames/>
</workbook>
</file>

<file path=xl/styles.xml><?xml version="1.0" encoding="utf-8"?>
<styleSheet xmlns="http://schemas.openxmlformats.org/spreadsheetml/2006/main">
  <numFmts count="4">
    <numFmt numFmtId="164" formatCode="0.0%"/>
    <numFmt numFmtId="165" formatCode="\$#,##0.00"/>
    <numFmt numFmtId="166" formatCode="$#,##0.00"/>
    <numFmt numFmtId="167" formatCode="$0.00"/>
  </numFmts>
  <fonts count="14">
    <font>
      <name val="Calibri"/>
      <family val="2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Cambria"/>
      <b val="1"/>
      <color theme="1"/>
      <sz val="13"/>
    </font>
    <font>
      <name val="Cambria"/>
      <b val="1"/>
      <color theme="1"/>
      <sz val="11"/>
    </font>
    <font>
      <name val="Cambria"/>
      <color theme="1"/>
      <sz val="11"/>
    </font>
    <font>
      <name val="Cambria"/>
      <b val="1"/>
      <color theme="1"/>
      <sz val="11"/>
    </font>
    <font>
      <name val="Cambria"/>
      <color theme="1"/>
      <sz val="11"/>
    </font>
    <font>
      <name val="Cambria"/>
      <color theme="1"/>
      <sz val="11"/>
    </font>
    <font>
      <name val="Cambria"/>
      <b val="1"/>
      <color theme="1"/>
      <sz val="11"/>
    </font>
    <font>
      <name val="Cambria"/>
      <i val="1"/>
      <color theme="1"/>
      <sz val="10"/>
    </font>
    <font>
      <name val="Arial"/>
      <family val="2"/>
      <sz val="10"/>
    </font>
    <font>
      <name val="Cambria"/>
      <b val="1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4DFEC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 style="thin">
        <color rgb="FFB7B7B7"/>
      </top>
      <bottom/>
      <diagonal/>
    </border>
    <border>
      <left/>
      <right/>
      <top style="medium">
        <color rgb="FF7F7F7F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164" fontId="6" fillId="3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5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0" fontId="6" fillId="3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 wrapText="1"/>
    </xf>
    <xf numFmtId="0" fontId="0" fillId="7" borderId="0" applyAlignment="1" pivotButton="0" quotePrefix="0" xfId="0">
      <alignment horizontal="center" vertical="bottom"/>
    </xf>
    <xf numFmtId="0" fontId="10" fillId="8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5" fillId="0" borderId="2" applyAlignment="1" pivotButton="0" quotePrefix="0" xfId="0">
      <alignment horizontal="general" vertical="bottom"/>
    </xf>
    <xf numFmtId="165" fontId="0" fillId="7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165" fontId="0" fillId="7" borderId="0" applyAlignment="1" pivotButton="0" quotePrefix="0" xfId="0">
      <alignment horizontal="center" vertical="bottom"/>
    </xf>
    <xf numFmtId="165" fontId="0" fillId="3" borderId="0" applyAlignment="1" pivotButton="0" quotePrefix="0" xfId="0">
      <alignment horizontal="center" vertical="bottom"/>
    </xf>
    <xf numFmtId="0" fontId="13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164" fontId="6" fillId="3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5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0" fontId="6" fillId="3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 wrapText="1"/>
    </xf>
    <xf numFmtId="0" fontId="0" fillId="7" borderId="0" applyAlignment="1" pivotButton="0" quotePrefix="0" xfId="0">
      <alignment horizontal="center" vertical="bottom"/>
    </xf>
    <xf numFmtId="0" fontId="10" fillId="8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general" vertical="bottom"/>
    </xf>
    <xf numFmtId="165" fontId="0" fillId="7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165" fontId="0" fillId="7" borderId="0" applyAlignment="1" pivotButton="0" quotePrefix="0" xfId="0">
      <alignment horizontal="center" vertical="bottom"/>
    </xf>
    <xf numFmtId="165" fontId="0" fillId="3" borderId="0" applyAlignment="1" pivotButton="0" quotePrefix="0" xfId="0">
      <alignment horizontal="center" vertical="bottom"/>
    </xf>
    <xf numFmtId="0" fontId="13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1" fontId="6" fillId="3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0" fillId="0" borderId="0" pivotButton="0" quotePrefix="0" xfId="0"/>
    <xf numFmtId="166" fontId="0" fillId="7" borderId="2" applyAlignment="1" pivotButton="0" quotePrefix="0" xfId="0">
      <alignment horizontal="center" vertical="bottom"/>
    </xf>
    <xf numFmtId="166" fontId="0" fillId="7" borderId="0" applyAlignment="1" pivotButton="0" quotePrefix="0" xfId="0">
      <alignment horizontal="center" vertical="bottom"/>
    </xf>
    <xf numFmtId="166" fontId="0" fillId="3" borderId="0" applyAlignment="1" pivotButton="0" quotePrefix="0" xfId="0">
      <alignment horizontal="center" vertical="bottom"/>
    </xf>
    <xf numFmtId="167" fontId="0" fillId="7" borderId="0" applyAlignment="1" pivotButton="0" quotePrefix="0" xfId="0">
      <alignment horizontal="center" vertical="bottom"/>
    </xf>
    <xf numFmtId="167" fontId="0" fillId="0" borderId="0" applyAlignment="1" pivotButton="0" quotePrefix="0" xfId="0">
      <alignment horizontal="general" vertical="bottom"/>
    </xf>
    <xf numFmtId="167" fontId="0" fillId="0" borderId="0" pivotButton="0" quotePrefix="0" xfId="0"/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dxfs count="1">
    <dxf>
      <font>
        <name val="Calibri"/>
        <family val="2"/>
        <color rgb="FF000000"/>
        <sz val="11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2CC"/>
      <rgbColor rgb="FFD9EA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E7E6E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D3" authorId="0" shapeId="0">
      <text>
        <t>Fuente de precio: menú PDF de Delibanquetes compartido por la usuaria.</t>
      </text>
    </comment>
    <comment ref="D4" authorId="0" shapeId="0">
      <text>
        <t>Fuente de precio: menú PDF de Delibanquetes compartido por la usuaria.</t>
      </text>
    </comment>
    <comment ref="D5" authorId="0" shapeId="0">
      <text>
        <t>Fuente de precio: menú PDF de Delibanquetes compartido por la usuaria.</t>
      </text>
    </comment>
    <comment ref="D6" authorId="0" shapeId="0">
      <text>
        <t>Fuente de precio: menú PDF de Delibanquetes compartido por la usuaria.</t>
      </text>
    </comment>
    <comment ref="D7" authorId="0" shapeId="0">
      <text>
        <t>Fuente de precio: menú PDF de Delibanquetes compartido por la usuaria.</t>
      </text>
    </comment>
    <comment ref="D8" authorId="0" shapeId="0">
      <text>
        <t>Fuente de precio: menú PDF de Delibanquetes compartido por la usuaria.</t>
      </text>
    </comment>
    <comment ref="D9" authorId="0" shapeId="0">
      <text>
        <t>Fuente de precio: menú PDF de Delibanquetes compartido por la usuaria.</t>
      </text>
    </comment>
    <comment ref="D10" authorId="0" shapeId="0">
      <text>
        <t>Fuente de precio: menú PDF de Delibanquetes compartido por la usuaria.</t>
      </text>
    </comment>
    <comment ref="D11" authorId="0" shapeId="0">
      <text>
        <t>Fuente de precio: menú PDF de Delibanquetes compartido por la usuaria.</t>
      </text>
    </comment>
    <comment ref="D12" authorId="0" shapeId="0">
      <text>
        <t>Fuente de precio: menú PDF de Delibanquetes compartido por la usuaria.</t>
      </text>
    </comment>
    <comment ref="D13" authorId="0" shapeId="0">
      <text>
        <t>Fuente de precio: menú PDF de Delibanquetes compartido por la usuaria.</t>
      </text>
    </comment>
    <comment ref="D14" authorId="0" shapeId="0">
      <text>
        <t>Fuente de precio: menú PDF de Delibanquetes compartido por la usuaria.</t>
      </text>
    </comment>
    <comment ref="D15" authorId="0" shapeId="0">
      <text>
        <t>Fuente de precio: menú PDF de Delibanquetes compartido por la usuaria.</t>
      </text>
    </comment>
    <comment ref="D16" authorId="0" shapeId="0">
      <text>
        <t>Fuente de precio: menú PDF de Delibanquetes compartido por la usuaria.</t>
      </text>
    </comment>
    <comment ref="D17" authorId="0" shapeId="0">
      <text>
        <t>Fuente de precio: menú PDF de Delibanquetes compartido por la usuaria.</t>
      </text>
    </comment>
    <comment ref="D18" authorId="0" shapeId="0">
      <text>
        <t>Fuente de precio: menú PDF de Delibanquetes compartido por la usuaria.</t>
      </text>
    </comment>
    <comment ref="D19" authorId="0" shapeId="0">
      <text>
        <t>Fuente de precio: menú PDF de Delibanquetes compartido por la usuaria.</t>
      </text>
    </comment>
    <comment ref="D20" authorId="0" shapeId="0">
      <text>
        <t>Fuente de precio: menú PDF de Delibanquetes compartido por la usuaria.</t>
      </text>
    </comment>
    <comment ref="D21" authorId="0" shapeId="0">
      <text>
        <t>Fuente de precio: menú PDF de Delibanquetes compartido por la usuaria.</t>
      </text>
    </comment>
    <comment ref="D22" authorId="0" shapeId="0">
      <text>
        <t>Fuente de precio: menú PDF de Delibanquetes compartido por la usuaria.</t>
      </text>
    </comment>
    <comment ref="D23" authorId="0" shapeId="0">
      <text>
        <t>Fuente de precio: menú PDF de Delibanquetes compartido por la usuaria.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ColWidth="8.6796875" defaultRowHeight="12.80000019073486"/>
  <cols>
    <col width="52" customWidth="1" style="25" min="1" max="1"/>
    <col width="16" customWidth="1" style="25" min="2" max="2"/>
    <col width="4" customWidth="1" style="25" min="3" max="5"/>
  </cols>
  <sheetData>
    <row r="1" ht="24" customHeight="1" s="26">
      <c r="A1" s="27" t="inlineStr">
        <is>
          <t>Plantilla final de planificación - Coctel (Delibanquetes) — Escenarios A/B/C</t>
        </is>
      </c>
    </row>
    <row r="2" ht="13.80000019073486" customHeight="1" s="26"/>
    <row r="3" ht="13.80000019073486" customHeight="1" s="26">
      <c r="A3" s="28" t="inlineStr">
        <is>
          <t>Escenario A - Día 1 sin coctel (Invitados)</t>
        </is>
      </c>
      <c r="B3" s="29" t="n">
        <v>0</v>
      </c>
    </row>
    <row r="4" ht="13.80000019073486" customHeight="1" s="26">
      <c r="A4" s="28" t="inlineStr">
        <is>
          <t>Escenario B - Día 1 con coctel (Invitados)</t>
        </is>
      </c>
      <c r="B4" s="29" t="n">
        <v>150</v>
      </c>
    </row>
    <row r="5" ht="13.80000019073486" customHeight="1" s="26">
      <c r="A5" s="25" t="inlineStr">
        <is>
          <t>Escenario C - Día 2 con coctel (Invitados)</t>
        </is>
      </c>
      <c r="B5" s="25" t="n">
        <v>300</v>
      </c>
    </row>
    <row r="6" ht="13.80000019073486" customHeight="1" s="26">
      <c r="A6" s="28" t="inlineStr">
        <is>
          <t>Día 2 - bocas saladas por invitado (6+2 aplica solo aquí)</t>
        </is>
      </c>
      <c r="B6" s="29" t="n">
        <v>6</v>
      </c>
    </row>
    <row r="7" ht="13.80000019073486" customHeight="1" s="26">
      <c r="A7" s="28" t="inlineStr">
        <is>
          <t>Día 2 - bocas dulces por invitado</t>
        </is>
      </c>
      <c r="B7" s="29" t="n">
        <v>2</v>
      </c>
    </row>
    <row r="8" ht="13.80000019073486" customHeight="1" s="26">
      <c r="A8" s="28" t="inlineStr">
        <is>
          <t>Mínimo por variedad (hard constraint proveedor)</t>
        </is>
      </c>
      <c r="B8" s="29" t="n">
        <v>50</v>
      </c>
    </row>
    <row r="9" ht="13.80000019073486" customHeight="1" s="26">
      <c r="A9" s="28" t="inlineStr">
        <is>
          <t>Servicio (% adicional del proveedor)</t>
        </is>
      </c>
      <c r="B9" s="30" t="n">
        <v>0.1</v>
      </c>
    </row>
    <row r="10" ht="13.80000019073486" customHeight="1" s="26">
      <c r="A10" s="50" t="inlineStr">
        <is>
          <t>Día 1 - bocas saladas por invitado (si hay coctel)</t>
        </is>
      </c>
      <c r="B10" s="51" t="n">
        <v>8</v>
      </c>
    </row>
    <row r="11" ht="13.80000019073486" customHeight="1" s="26">
      <c r="A11" s="50" t="inlineStr">
        <is>
          <t>Día 1 - bocas dulces por invitado (si hay coctel)</t>
        </is>
      </c>
      <c r="B11" s="51" t="n">
        <v>2</v>
      </c>
    </row>
    <row r="12" ht="72" customHeight="1" s="26">
      <c r="A12" t="inlineStr">
        <is>
          <t>Transporte (entrega) — monto fijo por evento con invitados</t>
        </is>
      </c>
      <c r="B12" s="55" t="n">
        <v>80</v>
      </c>
    </row>
    <row r="13" ht="13.80000019073486" customHeight="1" s="26">
      <c r="A13" s="31" t="inlineStr">
        <is>
          <t>Notas / reglas del proveedor</t>
        </is>
      </c>
    </row>
    <row r="14" ht="13.80000019073486" customHeight="1" s="26">
      <c r="A14" s="32" t="inlineStr">
        <is>
          <t>- Regla original del proveedor: 10 bocas mínimo por persona; selección mínima de 50 por variedad; máximo 10 variedades.
- En este archivo: Día 2 está planteado como 8 bocas pp (6 saladas + 2 dulces) — CONFIRMAR aceptación con Delibanquetes.
- Agregar 10% de servicio.</t>
        </is>
      </c>
    </row>
    <row r="15" ht="72" customHeight="1" s="26"/>
    <row r="16">
      <c r="A16" s="33" t="inlineStr">
        <is>
          <t>Base del menú final recomendado</t>
        </is>
      </c>
    </row>
    <row r="17">
      <c r="A17" s="32" t="inlineStr">
        <is>
          <t>- Día 1 (si hay coctel): 8 saladas + 2 dulces (10 bocas pp)
- Día 2: 6 saladas + 2 dulces (8 bocas pp)
- 0 repeticiones entre días (menús distintos)
- Precios base cargados desde el menú PDF compartido de Delibanquetes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ColWidth="8.6796875" defaultRowHeight="12.80000019073486"/>
  <cols>
    <col width="48" customWidth="1" style="25" min="1" max="1"/>
    <col width="12" customWidth="1" style="25" min="2" max="2"/>
    <col width="16" customWidth="1" style="25" min="3" max="3"/>
    <col width="14" customWidth="1" style="25" min="4" max="4"/>
    <col width="36" customWidth="1" style="25" min="5" max="5"/>
    <col width="20" customWidth="1" style="25" min="6" max="7"/>
    <col width="24" customWidth="1" style="25" min="8" max="8"/>
  </cols>
  <sheetData>
    <row r="1" ht="24" customHeight="1" s="26">
      <c r="A1" s="27" t="inlineStr">
        <is>
          <t>Curación de menú y asignación por día</t>
        </is>
      </c>
    </row>
    <row r="2" ht="28.35000038146973" customHeight="1" s="26">
      <c r="A2" s="34" t="inlineStr">
        <is>
          <t>Boca / Variedad</t>
        </is>
      </c>
      <c r="B2" s="34" t="inlineStr">
        <is>
          <t>Sabor</t>
        </is>
      </c>
      <c r="C2" s="34" t="inlineStr">
        <is>
          <t>Tipo</t>
        </is>
      </c>
      <c r="D2" s="34" t="inlineStr">
        <is>
          <t>Precio unitario</t>
        </is>
      </c>
      <c r="E2" s="34" t="inlineStr">
        <is>
          <t>Notas</t>
        </is>
      </c>
      <c r="F2" s="34" t="inlineStr">
        <is>
          <t>Día 1 - porciones/invitado</t>
        </is>
      </c>
      <c r="G2" s="34" t="inlineStr">
        <is>
          <t>Día 2 - porciones/invitado</t>
        </is>
      </c>
      <c r="H2" s="34" t="inlineStr">
        <is>
          <t>Chequeo no duplicar</t>
        </is>
      </c>
    </row>
    <row r="3" ht="13.80000019073486" customHeight="1" s="26">
      <c r="A3" s="35" t="inlineStr">
        <is>
          <t>Brocheta caprese con pesto</t>
        </is>
      </c>
      <c r="B3" s="36" t="inlineStr">
        <is>
          <t>Salado</t>
        </is>
      </c>
      <c r="C3" s="36" t="inlineStr">
        <is>
          <t>I</t>
        </is>
      </c>
      <c r="D3" s="37" t="n">
        <v>1.4</v>
      </c>
      <c r="E3" s="35" t="n"/>
      <c r="F3" s="38" t="n">
        <v>1</v>
      </c>
      <c r="G3" s="38" t="n">
        <v>0</v>
      </c>
      <c r="H3" s="39">
        <f>IF(AND(F3&gt;0,G3&gt;0),"ERROR: en ambos días","")</f>
        <v/>
      </c>
    </row>
    <row r="4" ht="13.80000019073486" customHeight="1" s="26">
      <c r="A4" s="35" t="inlineStr">
        <is>
          <t>Bolitas de papa rellena de queso</t>
        </is>
      </c>
      <c r="B4" s="36" t="inlineStr">
        <is>
          <t>Salado</t>
        </is>
      </c>
      <c r="C4" s="36" t="inlineStr">
        <is>
          <t>I</t>
        </is>
      </c>
      <c r="D4" s="37" t="n">
        <v>1.4</v>
      </c>
      <c r="E4" s="35" t="n"/>
      <c r="F4" s="38" t="n">
        <v>1</v>
      </c>
      <c r="G4" s="38" t="n">
        <v>0</v>
      </c>
      <c r="H4" s="39">
        <f>IF(AND(F4&gt;0,G4&gt;0),"ERROR: en ambos días","")</f>
        <v/>
      </c>
    </row>
    <row r="5" ht="13.80000019073486" customHeight="1" s="26">
      <c r="A5" s="35" t="inlineStr">
        <is>
          <t>Hongos al ajillo</t>
        </is>
      </c>
      <c r="B5" s="36" t="inlineStr">
        <is>
          <t>Salado</t>
        </is>
      </c>
      <c r="C5" s="36" t="inlineStr">
        <is>
          <t>I</t>
        </is>
      </c>
      <c r="D5" s="37" t="n">
        <v>1.4</v>
      </c>
      <c r="E5" s="35" t="n"/>
      <c r="F5" s="38" t="n">
        <v>0</v>
      </c>
      <c r="G5" s="38" t="n">
        <v>1</v>
      </c>
      <c r="H5" s="39">
        <f>IF(AND(F5&gt;0,G5&gt;0),"ERROR: en ambos días","")</f>
        <v/>
      </c>
    </row>
    <row r="6" ht="13.80000019073486" customHeight="1" s="26">
      <c r="A6" s="35" t="inlineStr">
        <is>
          <t>Mini quiché de espinaca y queso</t>
        </is>
      </c>
      <c r="B6" s="36" t="inlineStr">
        <is>
          <t>Salado</t>
        </is>
      </c>
      <c r="C6" s="36" t="inlineStr">
        <is>
          <t>I</t>
        </is>
      </c>
      <c r="D6" s="37" t="n">
        <v>1.4</v>
      </c>
      <c r="E6" s="35" t="n"/>
      <c r="F6" s="38" t="n">
        <v>0</v>
      </c>
      <c r="G6" s="38" t="n">
        <v>1</v>
      </c>
      <c r="H6" s="39">
        <f>IF(AND(F6&gt;0,G6&gt;0),"ERROR: en ambos días","")</f>
        <v/>
      </c>
    </row>
    <row r="7" ht="13.80000019073486" customHeight="1" s="26">
      <c r="A7" s="35" t="inlineStr">
        <is>
          <t>Crostini de melocotones asados y queso roquefort</t>
        </is>
      </c>
      <c r="B7" s="36" t="inlineStr">
        <is>
          <t>Salado</t>
        </is>
      </c>
      <c r="C7" s="36" t="inlineStr">
        <is>
          <t>II</t>
        </is>
      </c>
      <c r="D7" s="37" t="n">
        <v>1.7</v>
      </c>
      <c r="E7" s="35" t="n"/>
      <c r="F7" s="38" t="n">
        <v>0</v>
      </c>
      <c r="G7" s="38" t="n">
        <v>1</v>
      </c>
      <c r="H7" s="39">
        <f>IF(AND(F7&gt;0,G7&gt;0),"ERROR: en ambos días","")</f>
        <v/>
      </c>
    </row>
    <row r="8" ht="23.85000038146973" customHeight="1" s="26">
      <c r="A8" s="35" t="inlineStr">
        <is>
          <t>Crostini de cebollas caramelizadas en maple con peras y queso brie</t>
        </is>
      </c>
      <c r="B8" s="36" t="inlineStr">
        <is>
          <t>Salado</t>
        </is>
      </c>
      <c r="C8" s="36" t="inlineStr">
        <is>
          <t>II</t>
        </is>
      </c>
      <c r="D8" s="37" t="n">
        <v>1.7</v>
      </c>
      <c r="E8" s="35" t="n"/>
      <c r="F8" s="38" t="n">
        <v>1</v>
      </c>
      <c r="G8" s="38" t="n">
        <v>0</v>
      </c>
      <c r="H8" s="39">
        <f>IF(AND(F8&gt;0,G8&gt;0),"ERROR: en ambos días","")</f>
        <v/>
      </c>
    </row>
    <row r="9" ht="23.85000038146973" customHeight="1" s="26">
      <c r="A9" s="35" t="inlineStr">
        <is>
          <t>Costilla de cerdo en salsa barbacoa</t>
        </is>
      </c>
      <c r="B9" s="36" t="inlineStr">
        <is>
          <t>Salado</t>
        </is>
      </c>
      <c r="C9" s="36" t="inlineStr">
        <is>
          <t>II</t>
        </is>
      </c>
      <c r="D9" s="37" t="n">
        <v>1.7</v>
      </c>
      <c r="E9" s="35" t="inlineStr">
        <is>
          <t>Confirmar forma de servicio (porción / bocado).</t>
        </is>
      </c>
      <c r="F9" s="38" t="n">
        <v>0</v>
      </c>
      <c r="G9" s="38" t="n">
        <v>1</v>
      </c>
      <c r="H9" s="39">
        <f>IF(AND(F9&gt;0,G9&gt;0),"ERROR: en ambos días","")</f>
        <v/>
      </c>
    </row>
    <row r="10" ht="13.80000019073486" customHeight="1" s="26">
      <c r="A10" s="35" t="inlineStr">
        <is>
          <t>Bagel de salmón</t>
        </is>
      </c>
      <c r="B10" s="36" t="inlineStr">
        <is>
          <t>Salado</t>
        </is>
      </c>
      <c r="C10" s="36" t="inlineStr">
        <is>
          <t>Gourmet</t>
        </is>
      </c>
      <c r="D10" s="37" t="n">
        <v>2</v>
      </c>
      <c r="E10" s="35" t="n"/>
      <c r="F10" s="38" t="n">
        <v>1</v>
      </c>
      <c r="G10" s="38" t="n">
        <v>0</v>
      </c>
      <c r="H10" s="39">
        <f>IF(AND(F10&gt;0,G10&gt;0),"ERROR: en ambos días","")</f>
        <v/>
      </c>
    </row>
    <row r="11" ht="13.80000019073486" customHeight="1" s="26">
      <c r="A11" s="35" t="inlineStr">
        <is>
          <t>Mini ceviche de pescado peruano</t>
        </is>
      </c>
      <c r="B11" s="36" t="inlineStr">
        <is>
          <t>Salado</t>
        </is>
      </c>
      <c r="C11" s="36" t="inlineStr">
        <is>
          <t>Gourmet</t>
        </is>
      </c>
      <c r="D11" s="37" t="n">
        <v>2</v>
      </c>
      <c r="E11" s="35" t="n"/>
      <c r="F11" s="38" t="n">
        <v>1</v>
      </c>
      <c r="G11" s="38" t="n">
        <v>0</v>
      </c>
      <c r="H11" s="39">
        <f>IF(AND(F11&gt;0,G11&gt;0),"ERROR: en ambos días","")</f>
        <v/>
      </c>
    </row>
    <row r="12" ht="13.80000019073486" customHeight="1" s="26">
      <c r="A12" s="35" t="inlineStr">
        <is>
          <t>Mini ceviche de camarón</t>
        </is>
      </c>
      <c r="B12" s="36" t="inlineStr">
        <is>
          <t>Salado</t>
        </is>
      </c>
      <c r="C12" s="36" t="inlineStr">
        <is>
          <t>Gourmet</t>
        </is>
      </c>
      <c r="D12" s="37" t="n">
        <v>2</v>
      </c>
      <c r="E12" s="35" t="n"/>
      <c r="F12" s="38" t="n">
        <v>1</v>
      </c>
      <c r="G12" s="38" t="n">
        <v>0</v>
      </c>
      <c r="H12" s="39">
        <f>IF(AND(F12&gt;0,G12&gt;0),"ERROR: en ambos días","")</f>
        <v/>
      </c>
    </row>
    <row r="13" ht="13.80000019073486" customHeight="1" s="26">
      <c r="A13" s="35" t="inlineStr">
        <is>
          <t>Brocheta de pollo al estilo Thai</t>
        </is>
      </c>
      <c r="B13" s="36" t="inlineStr">
        <is>
          <t>Salado</t>
        </is>
      </c>
      <c r="C13" s="36" t="inlineStr">
        <is>
          <t>Gourmet</t>
        </is>
      </c>
      <c r="D13" s="37" t="n">
        <v>2</v>
      </c>
      <c r="E13" s="35" t="n"/>
      <c r="F13" s="38" t="n">
        <v>1</v>
      </c>
      <c r="G13" s="38" t="n">
        <v>0</v>
      </c>
      <c r="H13" s="39">
        <f>IF(AND(F13&gt;0,G13&gt;0),"ERROR: en ambos días","")</f>
        <v/>
      </c>
    </row>
    <row r="14" ht="13.80000019073486" customHeight="1" s="26">
      <c r="A14" s="35" t="inlineStr">
        <is>
          <t>Camarones empanizados con salsa tártara</t>
        </is>
      </c>
      <c r="B14" s="36" t="inlineStr">
        <is>
          <t>Salado</t>
        </is>
      </c>
      <c r="C14" s="36" t="inlineStr">
        <is>
          <t>Gourmet</t>
        </is>
      </c>
      <c r="D14" s="37" t="n">
        <v>2</v>
      </c>
      <c r="E14" s="35" t="n"/>
      <c r="F14" s="38" t="n">
        <v>0</v>
      </c>
      <c r="G14" s="38" t="n">
        <v>1</v>
      </c>
      <c r="H14" s="39">
        <f>IF(AND(F14&gt;0,G14&gt;0),"ERROR: en ambos días","")</f>
        <v/>
      </c>
    </row>
    <row r="15" ht="13.80000019073486" customHeight="1" s="26">
      <c r="A15" s="35" t="inlineStr">
        <is>
          <t>Mini filet mignon</t>
        </is>
      </c>
      <c r="B15" s="36" t="inlineStr">
        <is>
          <t>Salado</t>
        </is>
      </c>
      <c r="C15" s="36" t="inlineStr">
        <is>
          <t>Gourmet</t>
        </is>
      </c>
      <c r="D15" s="37" t="n">
        <v>2</v>
      </c>
      <c r="E15" s="35" t="inlineStr">
        <is>
          <t>Confirmar cómo se sirve (corte / salsa).</t>
        </is>
      </c>
      <c r="F15" s="38" t="n">
        <v>0</v>
      </c>
      <c r="G15" s="38" t="n">
        <v>1</v>
      </c>
      <c r="H15" s="39">
        <f>IF(AND(F15&gt;0,G15&gt;0),"ERROR: en ambos días","")</f>
        <v/>
      </c>
    </row>
    <row r="16" ht="13.80000019073486" customHeight="1" s="26">
      <c r="A16" s="35" t="inlineStr">
        <is>
          <t>Rollitos de pepino o de berenjenas</t>
        </is>
      </c>
      <c r="B16" s="36" t="inlineStr">
        <is>
          <t>Salado</t>
        </is>
      </c>
      <c r="C16" s="36" t="inlineStr">
        <is>
          <t>Vegetarianos</t>
        </is>
      </c>
      <c r="D16" s="37" t="n">
        <v>2.25</v>
      </c>
      <c r="E16" s="35" t="n"/>
      <c r="F16" s="38" t="n">
        <v>0</v>
      </c>
      <c r="G16" s="38" t="n">
        <v>0</v>
      </c>
      <c r="H16" s="39">
        <f>IF(AND(F16&gt;0,G16&gt;0),"ERROR: en ambos días","")</f>
        <v/>
      </c>
    </row>
    <row r="17" ht="13.80000019073486" customHeight="1" s="26">
      <c r="A17" s="35" t="inlineStr">
        <is>
          <t>Vegetales temporizados o tomates cherry confitados</t>
        </is>
      </c>
      <c r="B17" s="36" t="inlineStr">
        <is>
          <t>Salado</t>
        </is>
      </c>
      <c r="C17" s="36" t="inlineStr">
        <is>
          <t>Vegetarianos</t>
        </is>
      </c>
      <c r="D17" s="37" t="n">
        <v>2.25</v>
      </c>
      <c r="E17" s="35" t="n"/>
      <c r="F17" s="38" t="n">
        <v>0</v>
      </c>
      <c r="G17" s="38" t="n">
        <v>0</v>
      </c>
      <c r="H17" s="39">
        <f>IF(AND(F17&gt;0,G17&gt;0),"ERROR: en ambos días","")</f>
        <v/>
      </c>
    </row>
    <row r="18" ht="13.80000019073486" customHeight="1" s="26">
      <c r="A18" s="35" t="inlineStr">
        <is>
          <t>Humus de colores</t>
        </is>
      </c>
      <c r="B18" s="36" t="inlineStr">
        <is>
          <t>Salado</t>
        </is>
      </c>
      <c r="C18" s="36" t="inlineStr">
        <is>
          <t>Vegetarianos</t>
        </is>
      </c>
      <c r="D18" s="37" t="n">
        <v>2.25</v>
      </c>
      <c r="E18" s="35" t="n"/>
      <c r="F18" s="38" t="n">
        <v>1</v>
      </c>
      <c r="G18" s="38" t="n">
        <v>0</v>
      </c>
      <c r="H18" s="39">
        <f>IF(AND(F18&gt;0,G18&gt;0),"ERROR: en ambos días","")</f>
        <v/>
      </c>
    </row>
    <row r="19" ht="13.80000019073486" customHeight="1" s="26">
      <c r="A19" s="35" t="inlineStr">
        <is>
          <t>Cardenal de fruta roja (preferible fresa)</t>
        </is>
      </c>
      <c r="B19" s="36" t="inlineStr">
        <is>
          <t>Dulce</t>
        </is>
      </c>
      <c r="C19" s="36" t="inlineStr">
        <is>
          <t>Dulce</t>
        </is>
      </c>
      <c r="D19" s="37" t="n">
        <v>1.4</v>
      </c>
      <c r="E19" s="35" t="n"/>
      <c r="F19" s="38" t="n">
        <v>0</v>
      </c>
      <c r="G19" s="38" t="n">
        <v>1</v>
      </c>
      <c r="H19" s="39">
        <f>IF(AND(F19&gt;0,G19&gt;0),"ERROR: en ambos días","")</f>
        <v/>
      </c>
    </row>
    <row r="20" ht="13.80000019073486" customHeight="1" s="26">
      <c r="A20" s="35" t="inlineStr">
        <is>
          <t>Fresas cubiertas con chocolate</t>
        </is>
      </c>
      <c r="B20" s="36" t="inlineStr">
        <is>
          <t>Dulce</t>
        </is>
      </c>
      <c r="C20" s="36" t="inlineStr">
        <is>
          <t>Dulce</t>
        </is>
      </c>
      <c r="D20" s="37" t="n">
        <v>1.4</v>
      </c>
      <c r="E20" s="35" t="n"/>
      <c r="F20" s="38" t="n">
        <v>0</v>
      </c>
      <c r="G20" s="38" t="n">
        <v>1</v>
      </c>
      <c r="H20" s="39">
        <f>IF(AND(F20&gt;0,G20&gt;0),"ERROR: en ambos días","")</f>
        <v/>
      </c>
    </row>
    <row r="21" ht="13.80000019073486" customHeight="1" s="26">
      <c r="A21" s="35" t="inlineStr">
        <is>
          <t>Mini tartas / mini alfajores</t>
        </is>
      </c>
      <c r="B21" s="36" t="inlineStr">
        <is>
          <t>Dulce</t>
        </is>
      </c>
      <c r="C21" s="36" t="inlineStr">
        <is>
          <t>Dulce</t>
        </is>
      </c>
      <c r="D21" s="37" t="n">
        <v>1.4</v>
      </c>
      <c r="E21" s="35" t="inlineStr">
        <is>
          <t>(Reserva / reemplazo opcional).</t>
        </is>
      </c>
      <c r="F21" s="38" t="n">
        <v>0</v>
      </c>
      <c r="G21" s="38" t="n">
        <v>0</v>
      </c>
      <c r="H21" s="39">
        <f>IF(AND(F21&gt;0,G21&gt;0),"ERROR: en ambos días","")</f>
        <v/>
      </c>
    </row>
    <row r="22" ht="13.80000019073486" customHeight="1" s="26">
      <c r="A22" s="35" t="inlineStr">
        <is>
          <t>Cheesecake con salsa de fresa</t>
        </is>
      </c>
      <c r="B22" s="36" t="inlineStr">
        <is>
          <t>Dulce</t>
        </is>
      </c>
      <c r="C22" s="36" t="inlineStr">
        <is>
          <t>Dulce</t>
        </is>
      </c>
      <c r="D22" s="37" t="n">
        <v>1.4</v>
      </c>
      <c r="E22" s="35" t="n"/>
      <c r="F22" s="38" t="n">
        <v>1</v>
      </c>
      <c r="G22" s="38" t="n">
        <v>0</v>
      </c>
      <c r="H22" s="39">
        <f>IF(AND(F22&gt;0,G22&gt;0),"ERROR: en ambos días","")</f>
        <v/>
      </c>
    </row>
    <row r="23" ht="13.80000019073486" customHeight="1" s="26">
      <c r="A23" s="35" t="inlineStr">
        <is>
          <t>Pie de limón</t>
        </is>
      </c>
      <c r="B23" s="36" t="inlineStr">
        <is>
          <t>Dulce</t>
        </is>
      </c>
      <c r="C23" s="36" t="inlineStr">
        <is>
          <t>Dulce</t>
        </is>
      </c>
      <c r="D23" s="37" t="n">
        <v>1.4</v>
      </c>
      <c r="E23" s="35" t="n"/>
      <c r="F23" s="38" t="n">
        <v>1</v>
      </c>
      <c r="G23" s="38" t="n">
        <v>0</v>
      </c>
      <c r="H23" s="39">
        <f>IF(AND(F23&gt;0,G23&gt;0),"ERROR: en ambos días","")</f>
        <v/>
      </c>
    </row>
    <row r="24" ht="13.80000019073486" customHeight="1" s="26"/>
    <row r="25" ht="13.80000019073486" customHeight="1" s="26">
      <c r="A25" s="31" t="inlineStr">
        <is>
          <t>Checks (menú final)</t>
        </is>
      </c>
    </row>
    <row r="26" ht="13.80000019073486" customHeight="1" s="26">
      <c r="A26" s="28" t="inlineStr">
        <is>
          <t>Día 1 - Saladas (debe = Inputs!B10)</t>
        </is>
      </c>
      <c r="B26" s="40">
        <f>SUMPRODUCT((B3:B23="Salado")*(F3:F23))</f>
        <v/>
      </c>
      <c r="C26" s="41">
        <f>IF(ABS(B26-Inputs!$B$10)&lt;0.001,"OK","REVISAR")</f>
        <v/>
      </c>
      <c r="E26" s="28" t="inlineStr">
        <is>
          <t>Día 2 - Saladas (debe = Inputs!B6)</t>
        </is>
      </c>
      <c r="F26" s="40">
        <f>SUMPRODUCT((B3:B23="Salado")*(G3:G23))</f>
        <v/>
      </c>
      <c r="G26" s="41">
        <f>IF(ABS(F26-Inputs!$B$6)&lt;0.001,"OK","REVISAR")</f>
        <v/>
      </c>
    </row>
    <row r="27" ht="13.80000019073486" customHeight="1" s="26">
      <c r="A27" s="28" t="inlineStr">
        <is>
          <t>Día 1 - Dulces (debe = Inputs!B11)</t>
        </is>
      </c>
      <c r="B27" s="40">
        <f>SUMPRODUCT((B3:B23="Dulce")*(F3:F23))</f>
        <v/>
      </c>
      <c r="C27" s="41">
        <f>IF(ABS(B27-Inputs!$B$11)&lt;0.001,"OK","REVISAR")</f>
        <v/>
      </c>
      <c r="E27" s="28" t="inlineStr">
        <is>
          <t>Día 2 - Dulces (debe = Inputs!B7)</t>
        </is>
      </c>
      <c r="F27" s="40">
        <f>SUMPRODUCT((B3:B23="Dulce")*(G3:G23))</f>
        <v/>
      </c>
      <c r="G27" s="41">
        <f>IF(ABS(F27-Inputs!$B$7)&lt;0.001,"OK","REVISAR")</f>
        <v/>
      </c>
    </row>
    <row r="28" ht="13.80000019073486" customHeight="1" s="26">
      <c r="A28" s="28" t="inlineStr">
        <is>
          <t>Día 1 - Variedades (debe &lt;= 10)</t>
        </is>
      </c>
      <c r="B28" s="40">
        <f>COUNTIF(F3:F23,"&gt;0")</f>
        <v/>
      </c>
      <c r="C28" s="41">
        <f>IF(B28&lt;=10,"OK","REVISAR")</f>
        <v/>
      </c>
      <c r="E28" s="28" t="inlineStr">
        <is>
          <t>Día 2 - Variedades (debe &lt;= 10)</t>
        </is>
      </c>
      <c r="F28" s="40">
        <f>COUNTIF(G3:G23,"&gt;0")</f>
        <v/>
      </c>
      <c r="G28" s="41">
        <f>IF(F28&lt;=10,"OK","REVISAR")</f>
        <v/>
      </c>
    </row>
    <row r="29" ht="23.85000038146973" customHeight="1" s="26">
      <c r="A29" s="28" t="inlineStr">
        <is>
          <t>Duplicados entre días (debe = 0)</t>
        </is>
      </c>
      <c r="B29" s="40">
        <f>COUNTIF(H3:H23,"ERROR*")</f>
        <v/>
      </c>
      <c r="C29" s="41">
        <f>IF(B29=0,"OK","REVISAR")</f>
        <v/>
      </c>
      <c r="E29" s="28" t="inlineStr">
        <is>
          <t>Observación</t>
        </is>
      </c>
      <c r="F29" s="42" t="inlineStr">
        <is>
          <t>Observación</t>
        </is>
      </c>
      <c r="G29" s="25" t="inlineStr">
        <is>
          <t>Día 2 está definido por ti (6+2). Día 1 aquí queda como propuesta (8+2) editable. Menús sin repeticiones.</t>
        </is>
      </c>
    </row>
  </sheetData>
  <mergeCells count="1">
    <mergeCell ref="A1:H1"/>
  </mergeCells>
  <conditionalFormatting sqref="H3:H23">
    <cfRule type="expression" priority="2" dxfId="0">
      <formula>LEN(H3)&gt;0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1" workbookViewId="0">
      <selection activeCell="A1" sqref="A1"/>
    </sheetView>
  </sheetViews>
  <sheetFormatPr baseColWidth="8" defaultColWidth="8.6796875" defaultRowHeight="12.80000019073486"/>
  <cols>
    <col width="42" customWidth="1" style="25" min="1" max="1"/>
    <col width="12" customWidth="1" style="25" min="2" max="2"/>
    <col width="14" customWidth="1" style="25" min="3" max="4"/>
    <col width="36" customWidth="1" style="25" min="5" max="5"/>
    <col width="10" customWidth="1" style="25" min="6" max="7"/>
    <col width="18" customWidth="1" style="25" min="8" max="8"/>
    <col width="10" customWidth="1" style="25" min="9" max="9"/>
    <col width="12" customWidth="1" style="25" min="10" max="10"/>
    <col width="10" customWidth="1" style="25" min="11" max="13"/>
    <col width="12" customWidth="1" style="25" min="14" max="14"/>
    <col width="10" customWidth="1" style="25" min="15" max="15"/>
    <col width="18" customWidth="1" style="25" min="16" max="16"/>
  </cols>
  <sheetData>
    <row r="1" ht="24" customHeight="1" s="26">
      <c r="A1" s="27" t="inlineStr">
        <is>
          <t>Orden de compra y costos - escenarios A/B/C (Día 1 sin/ con coctel + Día 2)</t>
        </is>
      </c>
    </row>
    <row r="2" ht="13.80000019073486" customHeight="1" s="26"/>
    <row r="3" ht="13.80000019073486" customHeight="1" s="26">
      <c r="A3" s="31" t="inlineStr">
        <is>
          <t>Inputs clave</t>
        </is>
      </c>
      <c r="H3" s="31" t="inlineStr">
        <is>
          <t>Checks de consistencia</t>
        </is>
      </c>
    </row>
    <row r="4" ht="13.80000019073486" customHeight="1" s="26">
      <c r="A4" s="28" t="inlineStr">
        <is>
          <t>Invitados Esc. A (Día 1 - sin coctel)</t>
        </is>
      </c>
      <c r="B4" s="29">
        <f>Inputs!B3</f>
        <v/>
      </c>
      <c r="H4" s="28" t="inlineStr">
        <is>
          <t>Día 1 Saladas PPG</t>
        </is>
      </c>
      <c r="I4" s="40">
        <f>Menu_Setup!B26</f>
        <v/>
      </c>
      <c r="K4" s="28" t="inlineStr">
        <is>
          <t>Objetivo</t>
        </is>
      </c>
      <c r="L4" s="40">
        <f>Inputs!B6</f>
        <v/>
      </c>
      <c r="N4" s="28" t="inlineStr">
        <is>
          <t>Estado</t>
        </is>
      </c>
      <c r="O4" s="41">
        <f>Menu_Setup!C26</f>
        <v/>
      </c>
    </row>
    <row r="5" ht="13.80000019073486" customHeight="1" s="26">
      <c r="A5" s="28" t="inlineStr">
        <is>
          <t>Invitados Esc. B (Día 1 - con coctel)</t>
        </is>
      </c>
      <c r="B5" s="29">
        <f>Inputs!B4</f>
        <v/>
      </c>
      <c r="H5" s="28" t="inlineStr">
        <is>
          <t>Día 1 Dulces PPG</t>
        </is>
      </c>
      <c r="I5" s="40">
        <f>Menu_Setup!B27</f>
        <v/>
      </c>
      <c r="K5" s="28" t="inlineStr">
        <is>
          <t>Objetivo</t>
        </is>
      </c>
      <c r="L5" s="40">
        <f>Inputs!B7</f>
        <v/>
      </c>
      <c r="N5" s="28" t="inlineStr">
        <is>
          <t>Estado</t>
        </is>
      </c>
      <c r="O5" s="41">
        <f>Menu_Setup!C27</f>
        <v/>
      </c>
    </row>
    <row r="6" ht="13.80000019073486" customHeight="1" s="26">
      <c r="A6" s="28" t="inlineStr">
        <is>
          <t>Invitados Esc. C (Día 2 - con coctel)</t>
        </is>
      </c>
      <c r="B6" s="29">
        <f>Inputs!B5</f>
        <v/>
      </c>
      <c r="H6" s="28" t="inlineStr">
        <is>
          <t>Día 1 Variedades</t>
        </is>
      </c>
      <c r="I6" s="40">
        <f>Menu_Setup!B28</f>
        <v/>
      </c>
      <c r="K6" s="28" t="inlineStr">
        <is>
          <t>Máx</t>
        </is>
      </c>
      <c r="L6" s="40" t="n">
        <v>10</v>
      </c>
      <c r="N6" s="28" t="inlineStr">
        <is>
          <t>Estado</t>
        </is>
      </c>
      <c r="O6" s="41">
        <f>Menu_Setup!C28</f>
        <v/>
      </c>
    </row>
    <row r="7" ht="13.80000019073486" customHeight="1" s="26">
      <c r="A7" s="28" t="inlineStr">
        <is>
          <t>Mín/variedad</t>
        </is>
      </c>
      <c r="B7" s="52">
        <f>Inputs!B8</f>
        <v/>
      </c>
      <c r="H7" s="28" t="inlineStr">
        <is>
          <t>Día 2 Saladas PPG</t>
        </is>
      </c>
      <c r="I7" s="40">
        <f>Menu_Setup!F26</f>
        <v/>
      </c>
      <c r="K7" s="28" t="inlineStr">
        <is>
          <t>Objetivo</t>
        </is>
      </c>
      <c r="L7" s="40">
        <f>Inputs!B6</f>
        <v/>
      </c>
      <c r="N7" s="28" t="inlineStr">
        <is>
          <t>Estado</t>
        </is>
      </c>
      <c r="O7" s="41">
        <f>Menu_Setup!G26</f>
        <v/>
      </c>
    </row>
    <row r="8" ht="13.80000019073486" customHeight="1" s="26">
      <c r="A8" s="25" t="inlineStr">
        <is>
          <t>Servicio</t>
        </is>
      </c>
      <c r="B8" s="53">
        <f>Inputs!B9</f>
        <v/>
      </c>
      <c r="H8" s="28" t="inlineStr">
        <is>
          <t>Día 2 Dulces PPG</t>
        </is>
      </c>
      <c r="I8" s="40">
        <f>Menu_Setup!F27</f>
        <v/>
      </c>
      <c r="K8" s="28" t="inlineStr">
        <is>
          <t>Objetivo</t>
        </is>
      </c>
      <c r="L8" s="40">
        <f>Inputs!B7</f>
        <v/>
      </c>
      <c r="N8" s="28" t="inlineStr">
        <is>
          <t>Estado</t>
        </is>
      </c>
      <c r="O8" s="41">
        <f>Menu_Setup!G27</f>
        <v/>
      </c>
    </row>
    <row r="9" ht="13.80000019073486" customHeight="1" s="26">
      <c r="H9" s="28" t="inlineStr">
        <is>
          <t>Día 2 Variedades</t>
        </is>
      </c>
      <c r="I9" s="40">
        <f>Menu_Setup!F28</f>
        <v/>
      </c>
      <c r="K9" s="28" t="inlineStr">
        <is>
          <t>Máx</t>
        </is>
      </c>
      <c r="L9" s="40" t="n">
        <v>10</v>
      </c>
      <c r="N9" s="28" t="inlineStr">
        <is>
          <t>Estado</t>
        </is>
      </c>
      <c r="O9" s="41">
        <f>Menu_Setup!G28</f>
        <v/>
      </c>
    </row>
    <row r="10" ht="13.80000019073486" customHeight="1" s="26">
      <c r="H10" s="28" t="inlineStr">
        <is>
          <t>Duplicados</t>
        </is>
      </c>
      <c r="I10" s="40">
        <f>Menu_Setup!B29</f>
        <v/>
      </c>
      <c r="K10" s="28" t="inlineStr">
        <is>
          <t>Objetivo</t>
        </is>
      </c>
      <c r="L10" s="40" t="n">
        <v>0</v>
      </c>
      <c r="N10" s="28" t="inlineStr">
        <is>
          <t>Estado</t>
        </is>
      </c>
      <c r="O10" s="41">
        <f>Menu_Setup!C29</f>
        <v/>
      </c>
    </row>
    <row r="11" ht="13.80000019073486" customHeight="1" s="26"/>
    <row r="12" ht="28.35000038146973" customHeight="1" s="26">
      <c r="A12" s="34" t="inlineStr">
        <is>
          <t>Boca / Variedad</t>
        </is>
      </c>
      <c r="B12" s="34" t="inlineStr">
        <is>
          <t>Sabor</t>
        </is>
      </c>
      <c r="C12" s="34" t="inlineStr">
        <is>
          <t>Tipo</t>
        </is>
      </c>
      <c r="D12" s="34" t="inlineStr">
        <is>
          <t>Precio unitario</t>
        </is>
      </c>
      <c r="E12" s="34" t="inlineStr">
        <is>
          <t>Notas</t>
        </is>
      </c>
      <c r="F12" s="34" t="inlineStr">
        <is>
          <t>D1 PPG</t>
        </is>
      </c>
      <c r="G12" s="34" t="inlineStr">
        <is>
          <t>D2 PPG</t>
        </is>
      </c>
      <c r="H12" s="34" t="inlineStr">
        <is>
          <t>Qty D1 (Esc A)</t>
        </is>
      </c>
      <c r="I12" s="34" t="inlineStr">
        <is>
          <t>Qty D1 (Esc B)</t>
        </is>
      </c>
      <c r="J12" s="34" t="inlineStr">
        <is>
          <t>Costo D1 (Esc A)</t>
        </is>
      </c>
      <c r="K12" s="34" t="inlineStr">
        <is>
          <t>Costo D1 (Esc B)</t>
        </is>
      </c>
      <c r="L12" s="34" t="inlineStr">
        <is>
          <t>Qty D2 (Esc C)</t>
        </is>
      </c>
      <c r="M12" s="34" t="inlineStr">
        <is>
          <t>Costo D2 (Esc C)</t>
        </is>
      </c>
      <c r="N12" s="34" t="n"/>
      <c r="O12" s="34" t="n"/>
      <c r="P12" s="34" t="inlineStr">
        <is>
          <t>Flag</t>
        </is>
      </c>
    </row>
    <row r="13" ht="13.80000019073486" customHeight="1" s="26">
      <c r="A13" s="35">
        <f>Menu_Setup!A3</f>
        <v/>
      </c>
      <c r="B13" s="36">
        <f>Menu_Setup!B3</f>
        <v/>
      </c>
      <c r="C13" s="36">
        <f>Menu_Setup!C3</f>
        <v/>
      </c>
      <c r="D13" s="37">
        <f>Menu_Setup!D3</f>
        <v/>
      </c>
      <c r="E13" s="35">
        <f>IF(Menu_Setup!E3="","",Menu_Setup!E3)</f>
        <v/>
      </c>
      <c r="F13" s="36">
        <f>Menu_Setup!F3</f>
        <v/>
      </c>
      <c r="G13" s="36">
        <f>Menu_Setup!G3</f>
        <v/>
      </c>
      <c r="H13" s="36">
        <f>IF($F13&gt;0,IF(Inputs!$B$3=0,0,MAX(Inputs!$B$8,ROUNDUP(Inputs!$B$3*$F13,0))),0)</f>
        <v/>
      </c>
      <c r="I13" s="36">
        <f>IF($F13&gt;0,IF(Inputs!$B$4=0,0,MAX(Inputs!$B$8,ROUNDUP(Inputs!$B$4*$F13,0))),0)</f>
        <v/>
      </c>
      <c r="J13" s="37">
        <f>$H13*$D13</f>
        <v/>
      </c>
      <c r="K13" s="37">
        <f>$I13*$D13</f>
        <v/>
      </c>
      <c r="L13" s="36">
        <f>IF($G13&gt;0,IF(Inputs!$B$5=0,0,MAX(Inputs!$B$8,ROUNDUP(Inputs!$B$5*$G13,0))),0)</f>
        <v/>
      </c>
      <c r="M13" s="36">
        <f>$L13*$D13</f>
        <v/>
      </c>
      <c r="N13" s="37" t="n"/>
      <c r="O13" s="37" t="n"/>
      <c r="P13" s="35">
        <f>IF(Menu_Setup!H3="","",Menu_Setup!H3)</f>
        <v/>
      </c>
    </row>
    <row r="14" ht="13.80000019073486" customHeight="1" s="26">
      <c r="A14" s="35">
        <f>Menu_Setup!A4</f>
        <v/>
      </c>
      <c r="B14" s="36">
        <f>Menu_Setup!B4</f>
        <v/>
      </c>
      <c r="C14" s="36">
        <f>Menu_Setup!C4</f>
        <v/>
      </c>
      <c r="D14" s="37">
        <f>Menu_Setup!D4</f>
        <v/>
      </c>
      <c r="E14" s="35">
        <f>IF(Menu_Setup!E4="","",Menu_Setup!E4)</f>
        <v/>
      </c>
      <c r="F14" s="36">
        <f>Menu_Setup!F4</f>
        <v/>
      </c>
      <c r="G14" s="36">
        <f>Menu_Setup!G4</f>
        <v/>
      </c>
      <c r="H14" s="36">
        <f>IF($F14&gt;0,IF(Inputs!$B$3=0,0,MAX(Inputs!$B$8,ROUNDUP(Inputs!$B$3*$F14,0))),0)</f>
        <v/>
      </c>
      <c r="I14" s="36">
        <f>IF($F14&gt;0,IF(Inputs!$B$4=0,0,MAX(Inputs!$B$8,ROUNDUP(Inputs!$B$4*$F14,0))),0)</f>
        <v/>
      </c>
      <c r="J14" s="37">
        <f>$H14*$D14</f>
        <v/>
      </c>
      <c r="K14" s="37">
        <f>$I14*$D14</f>
        <v/>
      </c>
      <c r="L14" s="36">
        <f>IF($G14&gt;0,IF(Inputs!$B$5=0,0,MAX(Inputs!$B$8,ROUNDUP(Inputs!$B$5*$G14,0))),0)</f>
        <v/>
      </c>
      <c r="M14" s="36">
        <f>$L14*$D14</f>
        <v/>
      </c>
      <c r="N14" s="37" t="n"/>
      <c r="O14" s="37" t="n"/>
      <c r="P14" s="35">
        <f>IF(Menu_Setup!H4="","",Menu_Setup!H4)</f>
        <v/>
      </c>
    </row>
    <row r="15" ht="13.80000019073486" customHeight="1" s="26">
      <c r="A15" s="35">
        <f>Menu_Setup!A5</f>
        <v/>
      </c>
      <c r="B15" s="36">
        <f>Menu_Setup!B5</f>
        <v/>
      </c>
      <c r="C15" s="36">
        <f>Menu_Setup!C5</f>
        <v/>
      </c>
      <c r="D15" s="37">
        <f>Menu_Setup!D5</f>
        <v/>
      </c>
      <c r="E15" s="35">
        <f>IF(Menu_Setup!E5="","",Menu_Setup!E5)</f>
        <v/>
      </c>
      <c r="F15" s="36">
        <f>Menu_Setup!F5</f>
        <v/>
      </c>
      <c r="G15" s="36">
        <f>Menu_Setup!G5</f>
        <v/>
      </c>
      <c r="H15" s="36">
        <f>IF($F15&gt;0,IF(Inputs!$B$3=0,0,MAX(Inputs!$B$8,ROUNDUP(Inputs!$B$3*$F15,0))),0)</f>
        <v/>
      </c>
      <c r="I15" s="36">
        <f>IF($F15&gt;0,IF(Inputs!$B$4=0,0,MAX(Inputs!$B$8,ROUNDUP(Inputs!$B$4*$F15,0))),0)</f>
        <v/>
      </c>
      <c r="J15" s="37">
        <f>$H15*$D15</f>
        <v/>
      </c>
      <c r="K15" s="37">
        <f>$I15*$D15</f>
        <v/>
      </c>
      <c r="L15" s="36">
        <f>IF($G15&gt;0,IF(Inputs!$B$5=0,0,MAX(Inputs!$B$8,ROUNDUP(Inputs!$B$5*$G15,0))),0)</f>
        <v/>
      </c>
      <c r="M15" s="36">
        <f>$L15*$D15</f>
        <v/>
      </c>
      <c r="N15" s="37" t="n"/>
      <c r="O15" s="37" t="n"/>
      <c r="P15" s="35">
        <f>IF(Menu_Setup!H5="","",Menu_Setup!H5)</f>
        <v/>
      </c>
    </row>
    <row r="16" ht="13.80000019073486" customHeight="1" s="26">
      <c r="A16" s="35">
        <f>Menu_Setup!A6</f>
        <v/>
      </c>
      <c r="B16" s="36">
        <f>Menu_Setup!B6</f>
        <v/>
      </c>
      <c r="C16" s="36">
        <f>Menu_Setup!C6</f>
        <v/>
      </c>
      <c r="D16" s="37">
        <f>Menu_Setup!D6</f>
        <v/>
      </c>
      <c r="E16" s="35">
        <f>IF(Menu_Setup!E6="","",Menu_Setup!E6)</f>
        <v/>
      </c>
      <c r="F16" s="36">
        <f>Menu_Setup!F6</f>
        <v/>
      </c>
      <c r="G16" s="36">
        <f>Menu_Setup!G6</f>
        <v/>
      </c>
      <c r="H16" s="36">
        <f>IF($F16&gt;0,IF(Inputs!$B$3=0,0,MAX(Inputs!$B$8,ROUNDUP(Inputs!$B$3*$F16,0))),0)</f>
        <v/>
      </c>
      <c r="I16" s="36">
        <f>IF($F16&gt;0,IF(Inputs!$B$4=0,0,MAX(Inputs!$B$8,ROUNDUP(Inputs!$B$4*$F16,0))),0)</f>
        <v/>
      </c>
      <c r="J16" s="37">
        <f>$H16*$D16</f>
        <v/>
      </c>
      <c r="K16" s="37">
        <f>$I16*$D16</f>
        <v/>
      </c>
      <c r="L16" s="36">
        <f>IF($G16&gt;0,IF(Inputs!$B$5=0,0,MAX(Inputs!$B$8,ROUNDUP(Inputs!$B$5*$G16,0))),0)</f>
        <v/>
      </c>
      <c r="M16" s="36">
        <f>$L16*$D16</f>
        <v/>
      </c>
      <c r="N16" s="37" t="n"/>
      <c r="O16" s="37" t="n"/>
      <c r="P16" s="35">
        <f>IF(Menu_Setup!H6="","",Menu_Setup!H6)</f>
        <v/>
      </c>
    </row>
    <row r="17" ht="23.85000038146973" customHeight="1" s="26">
      <c r="A17" s="35">
        <f>Menu_Setup!A7</f>
        <v/>
      </c>
      <c r="B17" s="36">
        <f>Menu_Setup!B7</f>
        <v/>
      </c>
      <c r="C17" s="36">
        <f>Menu_Setup!C7</f>
        <v/>
      </c>
      <c r="D17" s="37">
        <f>Menu_Setup!D7</f>
        <v/>
      </c>
      <c r="E17" s="35">
        <f>IF(Menu_Setup!E7="","",Menu_Setup!E7)</f>
        <v/>
      </c>
      <c r="F17" s="36">
        <f>Menu_Setup!F7</f>
        <v/>
      </c>
      <c r="G17" s="36">
        <f>Menu_Setup!G7</f>
        <v/>
      </c>
      <c r="H17" s="36">
        <f>IF($F17&gt;0,IF(Inputs!$B$3=0,0,MAX(Inputs!$B$8,ROUNDUP(Inputs!$B$3*$F17,0))),0)</f>
        <v/>
      </c>
      <c r="I17" s="36">
        <f>IF($F17&gt;0,IF(Inputs!$B$4=0,0,MAX(Inputs!$B$8,ROUNDUP(Inputs!$B$4*$F17,0))),0)</f>
        <v/>
      </c>
      <c r="J17" s="37">
        <f>$H17*$D17</f>
        <v/>
      </c>
      <c r="K17" s="37">
        <f>$I17*$D17</f>
        <v/>
      </c>
      <c r="L17" s="36">
        <f>IF($G17&gt;0,IF(Inputs!$B$5=0,0,MAX(Inputs!$B$8,ROUNDUP(Inputs!$B$5*$G17,0))),0)</f>
        <v/>
      </c>
      <c r="M17" s="36">
        <f>$L17*$D17</f>
        <v/>
      </c>
      <c r="N17" s="37" t="n"/>
      <c r="O17" s="37" t="n"/>
      <c r="P17" s="35">
        <f>IF(Menu_Setup!H7="","",Menu_Setup!H7)</f>
        <v/>
      </c>
    </row>
    <row r="18" ht="23.85000038146973" customHeight="1" s="26">
      <c r="A18" s="35">
        <f>Menu_Setup!A8</f>
        <v/>
      </c>
      <c r="B18" s="36">
        <f>Menu_Setup!B8</f>
        <v/>
      </c>
      <c r="C18" s="36">
        <f>Menu_Setup!C8</f>
        <v/>
      </c>
      <c r="D18" s="37">
        <f>Menu_Setup!D8</f>
        <v/>
      </c>
      <c r="E18" s="35">
        <f>IF(Menu_Setup!E8="","",Menu_Setup!E8)</f>
        <v/>
      </c>
      <c r="F18" s="36">
        <f>Menu_Setup!F8</f>
        <v/>
      </c>
      <c r="G18" s="36">
        <f>Menu_Setup!G8</f>
        <v/>
      </c>
      <c r="H18" s="36">
        <f>IF($F18&gt;0,IF(Inputs!$B$3=0,0,MAX(Inputs!$B$8,ROUNDUP(Inputs!$B$3*$F18,0))),0)</f>
        <v/>
      </c>
      <c r="I18" s="36">
        <f>IF($F18&gt;0,IF(Inputs!$B$4=0,0,MAX(Inputs!$B$8,ROUNDUP(Inputs!$B$4*$F18,0))),0)</f>
        <v/>
      </c>
      <c r="J18" s="37">
        <f>$H18*$D18</f>
        <v/>
      </c>
      <c r="K18" s="37">
        <f>$I18*$D18</f>
        <v/>
      </c>
      <c r="L18" s="36">
        <f>IF($G18&gt;0,IF(Inputs!$B$5=0,0,MAX(Inputs!$B$8,ROUNDUP(Inputs!$B$5*$G18,0))),0)</f>
        <v/>
      </c>
      <c r="M18" s="36">
        <f>$L18*$D18</f>
        <v/>
      </c>
      <c r="N18" s="37" t="n"/>
      <c r="O18" s="37" t="n"/>
      <c r="P18" s="35">
        <f>IF(Menu_Setup!H8="","",Menu_Setup!H8)</f>
        <v/>
      </c>
    </row>
    <row r="19" ht="23.85000038146973" customHeight="1" s="26">
      <c r="A19" s="35">
        <f>Menu_Setup!A9</f>
        <v/>
      </c>
      <c r="B19" s="36">
        <f>Menu_Setup!B9</f>
        <v/>
      </c>
      <c r="C19" s="36">
        <f>Menu_Setup!C9</f>
        <v/>
      </c>
      <c r="D19" s="37">
        <f>Menu_Setup!D9</f>
        <v/>
      </c>
      <c r="E19" s="35">
        <f>IF(Menu_Setup!E9="","",Menu_Setup!E9)</f>
        <v/>
      </c>
      <c r="F19" s="36">
        <f>Menu_Setup!F9</f>
        <v/>
      </c>
      <c r="G19" s="36">
        <f>Menu_Setup!G9</f>
        <v/>
      </c>
      <c r="H19" s="36">
        <f>IF($F19&gt;0,IF(Inputs!$B$3=0,0,MAX(Inputs!$B$8,ROUNDUP(Inputs!$B$3*$F19,0))),0)</f>
        <v/>
      </c>
      <c r="I19" s="36">
        <f>IF($F19&gt;0,IF(Inputs!$B$4=0,0,MAX(Inputs!$B$8,ROUNDUP(Inputs!$B$4*$F19,0))),0)</f>
        <v/>
      </c>
      <c r="J19" s="37">
        <f>$H19*$D19</f>
        <v/>
      </c>
      <c r="K19" s="37">
        <f>$I19*$D19</f>
        <v/>
      </c>
      <c r="L19" s="36">
        <f>IF($G19&gt;0,IF(Inputs!$B$5=0,0,MAX(Inputs!$B$8,ROUNDUP(Inputs!$B$5*$G19,0))),0)</f>
        <v/>
      </c>
      <c r="M19" s="36">
        <f>$L19*$D19</f>
        <v/>
      </c>
      <c r="N19" s="37" t="n"/>
      <c r="O19" s="37" t="n"/>
      <c r="P19" s="35">
        <f>IF(Menu_Setup!H9="","",Menu_Setup!H9)</f>
        <v/>
      </c>
    </row>
    <row r="20" ht="13.80000019073486" customHeight="1" s="26">
      <c r="A20" s="35">
        <f>Menu_Setup!A10</f>
        <v/>
      </c>
      <c r="B20" s="36">
        <f>Menu_Setup!B10</f>
        <v/>
      </c>
      <c r="C20" s="36">
        <f>Menu_Setup!C10</f>
        <v/>
      </c>
      <c r="D20" s="37">
        <f>Menu_Setup!D10</f>
        <v/>
      </c>
      <c r="E20" s="35">
        <f>IF(Menu_Setup!E10="","",Menu_Setup!E10)</f>
        <v/>
      </c>
      <c r="F20" s="36">
        <f>Menu_Setup!F10</f>
        <v/>
      </c>
      <c r="G20" s="36">
        <f>Menu_Setup!G10</f>
        <v/>
      </c>
      <c r="H20" s="36">
        <f>IF($F20&gt;0,IF(Inputs!$B$3=0,0,MAX(Inputs!$B$8,ROUNDUP(Inputs!$B$3*$F20,0))),0)</f>
        <v/>
      </c>
      <c r="I20" s="36">
        <f>IF($F20&gt;0,IF(Inputs!$B$4=0,0,MAX(Inputs!$B$8,ROUNDUP(Inputs!$B$4*$F20,0))),0)</f>
        <v/>
      </c>
      <c r="J20" s="37">
        <f>$H20*$D20</f>
        <v/>
      </c>
      <c r="K20" s="37">
        <f>$I20*$D20</f>
        <v/>
      </c>
      <c r="L20" s="36">
        <f>IF($G20&gt;0,IF(Inputs!$B$5=0,0,MAX(Inputs!$B$8,ROUNDUP(Inputs!$B$5*$G20,0))),0)</f>
        <v/>
      </c>
      <c r="M20" s="36">
        <f>$L20*$D20</f>
        <v/>
      </c>
      <c r="N20" s="37" t="n"/>
      <c r="O20" s="37" t="n"/>
      <c r="P20" s="35">
        <f>IF(Menu_Setup!H10="","",Menu_Setup!H10)</f>
        <v/>
      </c>
    </row>
    <row r="21" ht="13.80000019073486" customHeight="1" s="26">
      <c r="A21" s="35">
        <f>Menu_Setup!A11</f>
        <v/>
      </c>
      <c r="B21" s="36">
        <f>Menu_Setup!B11</f>
        <v/>
      </c>
      <c r="C21" s="36">
        <f>Menu_Setup!C11</f>
        <v/>
      </c>
      <c r="D21" s="37">
        <f>Menu_Setup!D11</f>
        <v/>
      </c>
      <c r="E21" s="35">
        <f>IF(Menu_Setup!E11="","",Menu_Setup!E11)</f>
        <v/>
      </c>
      <c r="F21" s="36">
        <f>Menu_Setup!F11</f>
        <v/>
      </c>
      <c r="G21" s="36">
        <f>Menu_Setup!G11</f>
        <v/>
      </c>
      <c r="H21" s="36">
        <f>IF($F21&gt;0,IF(Inputs!$B$3=0,0,MAX(Inputs!$B$8,ROUNDUP(Inputs!$B$3*$F21,0))),0)</f>
        <v/>
      </c>
      <c r="I21" s="36">
        <f>IF($F21&gt;0,IF(Inputs!$B$4=0,0,MAX(Inputs!$B$8,ROUNDUP(Inputs!$B$4*$F21,0))),0)</f>
        <v/>
      </c>
      <c r="J21" s="37">
        <f>$H21*$D21</f>
        <v/>
      </c>
      <c r="K21" s="37">
        <f>$I21*$D21</f>
        <v/>
      </c>
      <c r="L21" s="36">
        <f>IF($G21&gt;0,IF(Inputs!$B$5=0,0,MAX(Inputs!$B$8,ROUNDUP(Inputs!$B$5*$G21,0))),0)</f>
        <v/>
      </c>
      <c r="M21" s="36">
        <f>$L21*$D21</f>
        <v/>
      </c>
      <c r="N21" s="37" t="n"/>
      <c r="O21" s="37" t="n"/>
      <c r="P21" s="35">
        <f>IF(Menu_Setup!H11="","",Menu_Setup!H11)</f>
        <v/>
      </c>
    </row>
    <row r="22" ht="13.80000019073486" customHeight="1" s="26">
      <c r="A22" s="35">
        <f>Menu_Setup!A12</f>
        <v/>
      </c>
      <c r="B22" s="36">
        <f>Menu_Setup!B12</f>
        <v/>
      </c>
      <c r="C22" s="36">
        <f>Menu_Setup!C12</f>
        <v/>
      </c>
      <c r="D22" s="37">
        <f>Menu_Setup!D12</f>
        <v/>
      </c>
      <c r="E22" s="35">
        <f>IF(Menu_Setup!E12="","",Menu_Setup!E12)</f>
        <v/>
      </c>
      <c r="F22" s="36">
        <f>Menu_Setup!F12</f>
        <v/>
      </c>
      <c r="G22" s="36">
        <f>Menu_Setup!G12</f>
        <v/>
      </c>
      <c r="H22" s="36">
        <f>IF($F22&gt;0,IF(Inputs!$B$3=0,0,MAX(Inputs!$B$8,ROUNDUP(Inputs!$B$3*$F22,0))),0)</f>
        <v/>
      </c>
      <c r="I22" s="36">
        <f>IF($F22&gt;0,IF(Inputs!$B$4=0,0,MAX(Inputs!$B$8,ROUNDUP(Inputs!$B$4*$F22,0))),0)</f>
        <v/>
      </c>
      <c r="J22" s="37">
        <f>$H22*$D22</f>
        <v/>
      </c>
      <c r="K22" s="37">
        <f>$I22*$D22</f>
        <v/>
      </c>
      <c r="L22" s="36">
        <f>IF($G22&gt;0,IF(Inputs!$B$5=0,0,MAX(Inputs!$B$8,ROUNDUP(Inputs!$B$5*$G22,0))),0)</f>
        <v/>
      </c>
      <c r="M22" s="36">
        <f>$L22*$D22</f>
        <v/>
      </c>
      <c r="N22" s="37" t="n"/>
      <c r="O22" s="37" t="n"/>
      <c r="P22" s="35">
        <f>IF(Menu_Setup!H12="","",Menu_Setup!H12)</f>
        <v/>
      </c>
    </row>
    <row r="23" ht="13.80000019073486" customHeight="1" s="26">
      <c r="A23" s="35">
        <f>Menu_Setup!A13</f>
        <v/>
      </c>
      <c r="B23" s="36">
        <f>Menu_Setup!B13</f>
        <v/>
      </c>
      <c r="C23" s="36">
        <f>Menu_Setup!C13</f>
        <v/>
      </c>
      <c r="D23" s="37">
        <f>Menu_Setup!D13</f>
        <v/>
      </c>
      <c r="E23" s="35">
        <f>IF(Menu_Setup!E13="","",Menu_Setup!E13)</f>
        <v/>
      </c>
      <c r="F23" s="36">
        <f>Menu_Setup!F13</f>
        <v/>
      </c>
      <c r="G23" s="36">
        <f>Menu_Setup!G13</f>
        <v/>
      </c>
      <c r="H23" s="36">
        <f>IF($F23&gt;0,IF(Inputs!$B$3=0,0,MAX(Inputs!$B$8,ROUNDUP(Inputs!$B$3*$F23,0))),0)</f>
        <v/>
      </c>
      <c r="I23" s="36">
        <f>IF($F23&gt;0,IF(Inputs!$B$4=0,0,MAX(Inputs!$B$8,ROUNDUP(Inputs!$B$4*$F23,0))),0)</f>
        <v/>
      </c>
      <c r="J23" s="37">
        <f>$H23*$D23</f>
        <v/>
      </c>
      <c r="K23" s="37">
        <f>$I23*$D23</f>
        <v/>
      </c>
      <c r="L23" s="36">
        <f>IF($G23&gt;0,IF(Inputs!$B$5=0,0,MAX(Inputs!$B$8,ROUNDUP(Inputs!$B$5*$G23,0))),0)</f>
        <v/>
      </c>
      <c r="M23" s="36">
        <f>$L23*$D23</f>
        <v/>
      </c>
      <c r="N23" s="37" t="n"/>
      <c r="O23" s="37" t="n"/>
      <c r="P23" s="35">
        <f>IF(Menu_Setup!H13="","",Menu_Setup!H13)</f>
        <v/>
      </c>
    </row>
    <row r="24" ht="13.80000019073486" customHeight="1" s="26">
      <c r="A24" s="35">
        <f>Menu_Setup!A14</f>
        <v/>
      </c>
      <c r="B24" s="36">
        <f>Menu_Setup!B14</f>
        <v/>
      </c>
      <c r="C24" s="36">
        <f>Menu_Setup!C14</f>
        <v/>
      </c>
      <c r="D24" s="37">
        <f>Menu_Setup!D14</f>
        <v/>
      </c>
      <c r="E24" s="35">
        <f>IF(Menu_Setup!E14="","",Menu_Setup!E14)</f>
        <v/>
      </c>
      <c r="F24" s="36">
        <f>Menu_Setup!F14</f>
        <v/>
      </c>
      <c r="G24" s="36">
        <f>Menu_Setup!G14</f>
        <v/>
      </c>
      <c r="H24" s="36">
        <f>IF($F24&gt;0,IF(Inputs!$B$3=0,0,MAX(Inputs!$B$8,ROUNDUP(Inputs!$B$3*$F24,0))),0)</f>
        <v/>
      </c>
      <c r="I24" s="36">
        <f>IF($F24&gt;0,IF(Inputs!$B$4=0,0,MAX(Inputs!$B$8,ROUNDUP(Inputs!$B$4*$F24,0))),0)</f>
        <v/>
      </c>
      <c r="J24" s="37">
        <f>$H24*$D24</f>
        <v/>
      </c>
      <c r="K24" s="37">
        <f>$I24*$D24</f>
        <v/>
      </c>
      <c r="L24" s="36">
        <f>IF($G24&gt;0,IF(Inputs!$B$5=0,0,MAX(Inputs!$B$8,ROUNDUP(Inputs!$B$5*$G24,0))),0)</f>
        <v/>
      </c>
      <c r="M24" s="36">
        <f>$L24*$D24</f>
        <v/>
      </c>
      <c r="N24" s="37" t="n"/>
      <c r="O24" s="37" t="n"/>
      <c r="P24" s="35">
        <f>IF(Menu_Setup!H14="","",Menu_Setup!H14)</f>
        <v/>
      </c>
    </row>
    <row r="25" ht="13.80000019073486" customHeight="1" s="26">
      <c r="A25" s="35">
        <f>Menu_Setup!A15</f>
        <v/>
      </c>
      <c r="B25" s="36">
        <f>Menu_Setup!B15</f>
        <v/>
      </c>
      <c r="C25" s="36">
        <f>Menu_Setup!C15</f>
        <v/>
      </c>
      <c r="D25" s="37">
        <f>Menu_Setup!D15</f>
        <v/>
      </c>
      <c r="E25" s="35">
        <f>IF(Menu_Setup!E15="","",Menu_Setup!E15)</f>
        <v/>
      </c>
      <c r="F25" s="36">
        <f>Menu_Setup!F15</f>
        <v/>
      </c>
      <c r="G25" s="36">
        <f>Menu_Setup!G15</f>
        <v/>
      </c>
      <c r="H25" s="36">
        <f>IF($F25&gt;0,IF(Inputs!$B$3=0,0,MAX(Inputs!$B$8,ROUNDUP(Inputs!$B$3*$F25,0))),0)</f>
        <v/>
      </c>
      <c r="I25" s="36">
        <f>IF($F25&gt;0,IF(Inputs!$B$4=0,0,MAX(Inputs!$B$8,ROUNDUP(Inputs!$B$4*$F25,0))),0)</f>
        <v/>
      </c>
      <c r="J25" s="37">
        <f>$H25*$D25</f>
        <v/>
      </c>
      <c r="K25" s="37">
        <f>$I25*$D25</f>
        <v/>
      </c>
      <c r="L25" s="36">
        <f>IF($G25&gt;0,IF(Inputs!$B$5=0,0,MAX(Inputs!$B$8,ROUNDUP(Inputs!$B$5*$G25,0))),0)</f>
        <v/>
      </c>
      <c r="M25" s="36">
        <f>$L25*$D25</f>
        <v/>
      </c>
      <c r="N25" s="37" t="n"/>
      <c r="O25" s="37" t="n"/>
      <c r="P25" s="35">
        <f>IF(Menu_Setup!H15="","",Menu_Setup!H15)</f>
        <v/>
      </c>
    </row>
    <row r="26" ht="13.80000019073486" customHeight="1" s="26">
      <c r="A26" s="35">
        <f>Menu_Setup!A16</f>
        <v/>
      </c>
      <c r="B26" s="36">
        <f>Menu_Setup!B16</f>
        <v/>
      </c>
      <c r="C26" s="36">
        <f>Menu_Setup!C16</f>
        <v/>
      </c>
      <c r="D26" s="37">
        <f>Menu_Setup!D16</f>
        <v/>
      </c>
      <c r="E26" s="35">
        <f>IF(Menu_Setup!E16="","",Menu_Setup!E16)</f>
        <v/>
      </c>
      <c r="F26" s="36">
        <f>Menu_Setup!F16</f>
        <v/>
      </c>
      <c r="G26" s="36">
        <f>Menu_Setup!G16</f>
        <v/>
      </c>
      <c r="H26" s="36">
        <f>IF($F26&gt;0,IF(Inputs!$B$3=0,0,MAX(Inputs!$B$8,ROUNDUP(Inputs!$B$3*$F26,0))),0)</f>
        <v/>
      </c>
      <c r="I26" s="36">
        <f>IF($F26&gt;0,IF(Inputs!$B$4=0,0,MAX(Inputs!$B$8,ROUNDUP(Inputs!$B$4*$F26,0))),0)</f>
        <v/>
      </c>
      <c r="J26" s="37">
        <f>$H26*$D26</f>
        <v/>
      </c>
      <c r="K26" s="37">
        <f>$I26*$D26</f>
        <v/>
      </c>
      <c r="L26" s="36">
        <f>IF($G26&gt;0,IF(Inputs!$B$5=0,0,MAX(Inputs!$B$8,ROUNDUP(Inputs!$B$5*$G26,0))),0)</f>
        <v/>
      </c>
      <c r="M26" s="36">
        <f>$L26*$D26</f>
        <v/>
      </c>
      <c r="N26" s="37" t="n"/>
      <c r="O26" s="37" t="n"/>
      <c r="P26" s="35">
        <f>IF(Menu_Setup!H16="","",Menu_Setup!H16)</f>
        <v/>
      </c>
    </row>
    <row r="27" ht="23.85000038146973" customHeight="1" s="26">
      <c r="A27" s="35">
        <f>Menu_Setup!A17</f>
        <v/>
      </c>
      <c r="B27" s="36">
        <f>Menu_Setup!B17</f>
        <v/>
      </c>
      <c r="C27" s="36">
        <f>Menu_Setup!C17</f>
        <v/>
      </c>
      <c r="D27" s="37">
        <f>Menu_Setup!D17</f>
        <v/>
      </c>
      <c r="E27" s="35">
        <f>IF(Menu_Setup!E17="","",Menu_Setup!E17)</f>
        <v/>
      </c>
      <c r="F27" s="36">
        <f>Menu_Setup!F17</f>
        <v/>
      </c>
      <c r="G27" s="36">
        <f>Menu_Setup!G17</f>
        <v/>
      </c>
      <c r="H27" s="36">
        <f>IF($F27&gt;0,IF(Inputs!$B$3=0,0,MAX(Inputs!$B$8,ROUNDUP(Inputs!$B$3*$F27,0))),0)</f>
        <v/>
      </c>
      <c r="I27" s="36">
        <f>IF($F27&gt;0,IF(Inputs!$B$4=0,0,MAX(Inputs!$B$8,ROUNDUP(Inputs!$B$4*$F27,0))),0)</f>
        <v/>
      </c>
      <c r="J27" s="37">
        <f>$H27*$D27</f>
        <v/>
      </c>
      <c r="K27" s="37">
        <f>$I27*$D27</f>
        <v/>
      </c>
      <c r="L27" s="36">
        <f>IF($G27&gt;0,IF(Inputs!$B$5=0,0,MAX(Inputs!$B$8,ROUNDUP(Inputs!$B$5*$G27,0))),0)</f>
        <v/>
      </c>
      <c r="M27" s="36">
        <f>$L27*$D27</f>
        <v/>
      </c>
      <c r="N27" s="37" t="n"/>
      <c r="O27" s="37" t="n"/>
      <c r="P27" s="35">
        <f>IF(Menu_Setup!H17="","",Menu_Setup!H17)</f>
        <v/>
      </c>
    </row>
    <row r="28" ht="13.80000019073486" customHeight="1" s="26">
      <c r="A28" s="35">
        <f>Menu_Setup!A18</f>
        <v/>
      </c>
      <c r="B28" s="36">
        <f>Menu_Setup!B18</f>
        <v/>
      </c>
      <c r="C28" s="36">
        <f>Menu_Setup!C18</f>
        <v/>
      </c>
      <c r="D28" s="37">
        <f>Menu_Setup!D18</f>
        <v/>
      </c>
      <c r="E28" s="35">
        <f>IF(Menu_Setup!E18="","",Menu_Setup!E18)</f>
        <v/>
      </c>
      <c r="F28" s="36">
        <f>Menu_Setup!F18</f>
        <v/>
      </c>
      <c r="G28" s="36">
        <f>Menu_Setup!G18</f>
        <v/>
      </c>
      <c r="H28" s="36">
        <f>IF($F28&gt;0,IF(Inputs!$B$3=0,0,MAX(Inputs!$B$8,ROUNDUP(Inputs!$B$3*$F28,0))),0)</f>
        <v/>
      </c>
      <c r="I28" s="36">
        <f>IF($F28&gt;0,IF(Inputs!$B$4=0,0,MAX(Inputs!$B$8,ROUNDUP(Inputs!$B$4*$F28,0))),0)</f>
        <v/>
      </c>
      <c r="J28" s="37">
        <f>$H28*$D28</f>
        <v/>
      </c>
      <c r="K28" s="37">
        <f>$I28*$D28</f>
        <v/>
      </c>
      <c r="L28" s="36">
        <f>IF($G28&gt;0,IF(Inputs!$B$5=0,0,MAX(Inputs!$B$8,ROUNDUP(Inputs!$B$5*$G28,0))),0)</f>
        <v/>
      </c>
      <c r="M28" s="36">
        <f>$L28*$D28</f>
        <v/>
      </c>
      <c r="N28" s="37" t="n"/>
      <c r="O28" s="37" t="n"/>
      <c r="P28" s="35">
        <f>IF(Menu_Setup!H18="","",Menu_Setup!H18)</f>
        <v/>
      </c>
    </row>
    <row r="29" ht="13.80000019073486" customHeight="1" s="26">
      <c r="A29" s="35">
        <f>Menu_Setup!A19</f>
        <v/>
      </c>
      <c r="B29" s="36">
        <f>Menu_Setup!B19</f>
        <v/>
      </c>
      <c r="C29" s="36">
        <f>Menu_Setup!C19</f>
        <v/>
      </c>
      <c r="D29" s="37">
        <f>Menu_Setup!D19</f>
        <v/>
      </c>
      <c r="E29" s="35">
        <f>IF(Menu_Setup!E19="","",Menu_Setup!E19)</f>
        <v/>
      </c>
      <c r="F29" s="36">
        <f>Menu_Setup!F19</f>
        <v/>
      </c>
      <c r="G29" s="36">
        <f>Menu_Setup!G19</f>
        <v/>
      </c>
      <c r="H29" s="36">
        <f>IF($F29&gt;0,IF(Inputs!$B$3=0,0,MAX(Inputs!$B$8,ROUNDUP(Inputs!$B$3*$F29,0))),0)</f>
        <v/>
      </c>
      <c r="I29" s="36">
        <f>IF($F29&gt;0,IF(Inputs!$B$4=0,0,MAX(Inputs!$B$8,ROUNDUP(Inputs!$B$4*$F29,0))),0)</f>
        <v/>
      </c>
      <c r="J29" s="37">
        <f>$H29*$D29</f>
        <v/>
      </c>
      <c r="K29" s="37">
        <f>$I29*$D29</f>
        <v/>
      </c>
      <c r="L29" s="36">
        <f>IF($G29&gt;0,IF(Inputs!$B$5=0,0,MAX(Inputs!$B$8,ROUNDUP(Inputs!$B$5*$G29,0))),0)</f>
        <v/>
      </c>
      <c r="M29" s="36">
        <f>$L29*$D29</f>
        <v/>
      </c>
      <c r="N29" s="37" t="n"/>
      <c r="O29" s="37" t="n"/>
      <c r="P29" s="35">
        <f>IF(Menu_Setup!H19="","",Menu_Setup!H19)</f>
        <v/>
      </c>
    </row>
    <row r="30" ht="13.80000019073486" customHeight="1" s="26">
      <c r="A30" s="35">
        <f>Menu_Setup!A20</f>
        <v/>
      </c>
      <c r="B30" s="36">
        <f>Menu_Setup!B20</f>
        <v/>
      </c>
      <c r="C30" s="36">
        <f>Menu_Setup!C20</f>
        <v/>
      </c>
      <c r="D30" s="37">
        <f>Menu_Setup!D20</f>
        <v/>
      </c>
      <c r="E30" s="35">
        <f>IF(Menu_Setup!E20="","",Menu_Setup!E20)</f>
        <v/>
      </c>
      <c r="F30" s="36">
        <f>Menu_Setup!F20</f>
        <v/>
      </c>
      <c r="G30" s="36">
        <f>Menu_Setup!G20</f>
        <v/>
      </c>
      <c r="H30" s="36">
        <f>IF($F30&gt;0,IF(Inputs!$B$3=0,0,MAX(Inputs!$B$8,ROUNDUP(Inputs!$B$3*$F30,0))),0)</f>
        <v/>
      </c>
      <c r="I30" s="36">
        <f>IF($F30&gt;0,IF(Inputs!$B$4=0,0,MAX(Inputs!$B$8,ROUNDUP(Inputs!$B$4*$F30,0))),0)</f>
        <v/>
      </c>
      <c r="J30" s="37">
        <f>$H30*$D30</f>
        <v/>
      </c>
      <c r="K30" s="37">
        <f>$I30*$D30</f>
        <v/>
      </c>
      <c r="L30" s="36">
        <f>IF($G30&gt;0,IF(Inputs!$B$5=0,0,MAX(Inputs!$B$8,ROUNDUP(Inputs!$B$5*$G30,0))),0)</f>
        <v/>
      </c>
      <c r="M30" s="36">
        <f>$L30*$D30</f>
        <v/>
      </c>
      <c r="N30" s="37" t="n"/>
      <c r="O30" s="37" t="n"/>
      <c r="P30" s="35">
        <f>IF(Menu_Setup!H20="","",Menu_Setup!H20)</f>
        <v/>
      </c>
    </row>
    <row r="31" ht="13.80000019073486" customHeight="1" s="26">
      <c r="A31" s="35">
        <f>Menu_Setup!A21</f>
        <v/>
      </c>
      <c r="B31" s="36">
        <f>Menu_Setup!B21</f>
        <v/>
      </c>
      <c r="C31" s="36">
        <f>Menu_Setup!C21</f>
        <v/>
      </c>
      <c r="D31" s="37">
        <f>Menu_Setup!D21</f>
        <v/>
      </c>
      <c r="E31" s="35">
        <f>IF(Menu_Setup!E21="","",Menu_Setup!E21)</f>
        <v/>
      </c>
      <c r="F31" s="36">
        <f>Menu_Setup!F21</f>
        <v/>
      </c>
      <c r="G31" s="36">
        <f>Menu_Setup!G21</f>
        <v/>
      </c>
      <c r="H31" s="36">
        <f>IF($F31&gt;0,IF(Inputs!$B$3=0,0,MAX(Inputs!$B$8,ROUNDUP(Inputs!$B$3*$F31,0))),0)</f>
        <v/>
      </c>
      <c r="I31" s="36">
        <f>IF($F31&gt;0,IF(Inputs!$B$4=0,0,MAX(Inputs!$B$8,ROUNDUP(Inputs!$B$4*$F31,0))),0)</f>
        <v/>
      </c>
      <c r="J31" s="37">
        <f>$H31*$D31</f>
        <v/>
      </c>
      <c r="K31" s="37">
        <f>$I31*$D31</f>
        <v/>
      </c>
      <c r="L31" s="36">
        <f>IF($G31&gt;0,IF(Inputs!$B$5=0,0,MAX(Inputs!$B$8,ROUNDUP(Inputs!$B$5*$G31,0))),0)</f>
        <v/>
      </c>
      <c r="M31" s="36">
        <f>$L31*$D31</f>
        <v/>
      </c>
      <c r="N31" s="37" t="n"/>
      <c r="O31" s="37" t="n"/>
      <c r="P31" s="35">
        <f>IF(Menu_Setup!H21="","",Menu_Setup!H21)</f>
        <v/>
      </c>
    </row>
    <row r="32" ht="13.80000019073486" customHeight="1" s="26">
      <c r="A32" s="35">
        <f>Menu_Setup!A22</f>
        <v/>
      </c>
      <c r="B32" s="36">
        <f>Menu_Setup!B22</f>
        <v/>
      </c>
      <c r="C32" s="36">
        <f>Menu_Setup!C22</f>
        <v/>
      </c>
      <c r="D32" s="37">
        <f>Menu_Setup!D22</f>
        <v/>
      </c>
      <c r="E32" s="35">
        <f>IF(Menu_Setup!E22="","",Menu_Setup!E22)</f>
        <v/>
      </c>
      <c r="F32" s="36">
        <f>Menu_Setup!F22</f>
        <v/>
      </c>
      <c r="G32" s="36">
        <f>Menu_Setup!G22</f>
        <v/>
      </c>
      <c r="H32" s="36">
        <f>IF($F32&gt;0,IF(Inputs!$B$3=0,0,MAX(Inputs!$B$8,ROUNDUP(Inputs!$B$3*$F32,0))),0)</f>
        <v/>
      </c>
      <c r="I32" s="36">
        <f>IF($F32&gt;0,IF(Inputs!$B$4=0,0,MAX(Inputs!$B$8,ROUNDUP(Inputs!$B$4*$F32,0))),0)</f>
        <v/>
      </c>
      <c r="J32" s="37">
        <f>$H32*$D32</f>
        <v/>
      </c>
      <c r="K32" s="37">
        <f>$I32*$D32</f>
        <v/>
      </c>
      <c r="L32" s="36">
        <f>IF($G32&gt;0,IF(Inputs!$B$5=0,0,MAX(Inputs!$B$8,ROUNDUP(Inputs!$B$5*$G32,0))),0)</f>
        <v/>
      </c>
      <c r="M32" s="36">
        <f>$L32*$D32</f>
        <v/>
      </c>
      <c r="N32" s="37" t="n"/>
      <c r="O32" s="37" t="n"/>
      <c r="P32" s="35">
        <f>IF(Menu_Setup!H22="","",Menu_Setup!H22)</f>
        <v/>
      </c>
    </row>
    <row r="33" ht="13.80000019073486" customHeight="1" s="26">
      <c r="A33" s="35">
        <f>Menu_Setup!A23</f>
        <v/>
      </c>
      <c r="B33" s="36">
        <f>Menu_Setup!B23</f>
        <v/>
      </c>
      <c r="C33" s="36">
        <f>Menu_Setup!C23</f>
        <v/>
      </c>
      <c r="D33" s="37">
        <f>Menu_Setup!D23</f>
        <v/>
      </c>
      <c r="E33" s="35">
        <f>IF(Menu_Setup!E23="","",Menu_Setup!E23)</f>
        <v/>
      </c>
      <c r="F33" s="36">
        <f>Menu_Setup!F23</f>
        <v/>
      </c>
      <c r="G33" s="36">
        <f>Menu_Setup!G23</f>
        <v/>
      </c>
      <c r="H33" s="36">
        <f>IF($F33&gt;0,IF(Inputs!$B$3=0,0,MAX(Inputs!$B$8,ROUNDUP(Inputs!$B$3*$F33,0))),0)</f>
        <v/>
      </c>
      <c r="I33" s="36">
        <f>IF($F33&gt;0,IF(Inputs!$B$4=0,0,MAX(Inputs!$B$8,ROUNDUP(Inputs!$B$4*$F33,0))),0)</f>
        <v/>
      </c>
      <c r="J33" s="37">
        <f>$H33*$D33</f>
        <v/>
      </c>
      <c r="K33" s="37">
        <f>$I33*$D33</f>
        <v/>
      </c>
      <c r="L33" s="36">
        <f>IF($G33&gt;0,IF(Inputs!$B$5=0,0,MAX(Inputs!$B$8,ROUNDUP(Inputs!$B$5*$G33,0))),0)</f>
        <v/>
      </c>
      <c r="M33" s="36">
        <f>$L33*$D33</f>
        <v/>
      </c>
      <c r="N33" s="37" t="n"/>
      <c r="O33" s="37" t="n"/>
      <c r="P33" s="35">
        <f>IF(Menu_Setup!H23="","",Menu_Setup!H23)</f>
        <v/>
      </c>
    </row>
    <row r="34" ht="13.80000019073486" customHeight="1" s="26"/>
    <row r="35" ht="13.80000019073486" customHeight="1" s="26"/>
    <row r="36" ht="13.80000019073486" customHeight="1" s="26">
      <c r="A36" s="31" t="inlineStr">
        <is>
          <t>Resumen (coctel)</t>
        </is>
      </c>
      <c r="B36" s="25" t="inlineStr">
        <is>
          <t>Esc A - D1 (0)</t>
        </is>
      </c>
      <c r="E36" s="25" t="inlineStr">
        <is>
          <t>Esc B - D1 (150)</t>
        </is>
      </c>
      <c r="H36" s="25" t="inlineStr">
        <is>
          <t>Esc C - D2 (300)</t>
        </is>
      </c>
    </row>
    <row r="37" ht="13.80000019073486" customHeight="1" s="26">
      <c r="A37" s="43" t="inlineStr">
        <is>
          <t>Subtotal</t>
        </is>
      </c>
      <c r="B37" s="56">
        <f>SUM(J13:J33)</f>
        <v/>
      </c>
      <c r="C37" s="45" t="n"/>
      <c r="D37" s="43" t="n"/>
      <c r="E37" s="56">
        <f>SUM(K13:K33)</f>
        <v/>
      </c>
      <c r="H37" s="54">
        <f>SUM(M13:M33)</f>
        <v/>
      </c>
    </row>
    <row r="38" ht="13.80000019073486" customHeight="1" s="26">
      <c r="A38" s="28" t="inlineStr">
        <is>
          <t>Servicio</t>
        </is>
      </c>
      <c r="B38" s="57">
        <f>B37*Inputs!$B$9</f>
        <v/>
      </c>
      <c r="D38" s="28" t="n"/>
      <c r="E38" s="57">
        <f>E37*Inputs!$B$9</f>
        <v/>
      </c>
      <c r="H38" s="54">
        <f>H37*Inputs!$B$9</f>
        <v/>
      </c>
    </row>
    <row r="39" ht="13.80000019073486" customHeight="1" s="26">
      <c r="A39" s="28" t="inlineStr">
        <is>
          <t>Total</t>
        </is>
      </c>
      <c r="B39" s="58">
        <f>B37*(1+Inputs!$B$9)</f>
        <v/>
      </c>
      <c r="D39" s="28" t="n"/>
      <c r="E39" s="58">
        <f>E37*(1+Inputs!$B$9)</f>
        <v/>
      </c>
      <c r="H39" s="54">
        <f>H37*(1+Inputs!$B$9)</f>
        <v/>
      </c>
    </row>
    <row r="40" ht="13.80000019073486" customHeight="1" s="26">
      <c r="A40" s="28" t="inlineStr">
        <is>
          <t>Costo pp</t>
        </is>
      </c>
      <c r="B40" s="59">
        <f>IF(Inputs!$B$3=0,"",B39/Inputs!$B$3)</f>
        <v/>
      </c>
      <c r="D40" s="28" t="n"/>
      <c r="E40" s="59">
        <f>IF(Inputs!$B$4=0,"",E39/Inputs!$B$4)</f>
        <v/>
      </c>
      <c r="H40" s="60">
        <f>IF(Inputs!$B$5=0,"",H39/Inputs!$B$5)</f>
        <v/>
      </c>
    </row>
    <row r="41" ht="13.80000019073486" customHeight="1" s="26">
      <c r="A41" t="inlineStr">
        <is>
          <t>Transporte (entrega)</t>
        </is>
      </c>
      <c r="B41" s="55">
        <f>IF(Inputs!$B$3=0,0,Inputs!$B$12)</f>
        <v/>
      </c>
      <c r="E41" s="55">
        <f>IF(Inputs!$B$4=0,0,Inputs!$B$12)</f>
        <v/>
      </c>
      <c r="H41" s="55">
        <f>IF(Inputs!$B$5=0,0,Inputs!$B$12)</f>
        <v/>
      </c>
    </row>
    <row r="42" ht="13.80000019073486" customHeight="1" s="26">
      <c r="A42" s="25" t="inlineStr">
        <is>
          <t>Total + transporte</t>
        </is>
      </c>
      <c r="B42" s="54">
        <f>B39+B41</f>
        <v/>
      </c>
      <c r="E42" s="55">
        <f>E39+E41</f>
        <v/>
      </c>
      <c r="H42" s="55">
        <f>H39+H41</f>
        <v/>
      </c>
    </row>
    <row r="43" ht="13.80000019073486" customHeight="1" s="26">
      <c r="A43" s="31" t="inlineStr">
        <is>
          <t>Costo pp all-in</t>
        </is>
      </c>
      <c r="B43" s="61">
        <f>IF(Inputs!$B$3=0,"",B42/Inputs!$B$3)</f>
        <v/>
      </c>
      <c r="E43" s="61">
        <f>IF(Inputs!$B$4=0,"",E42/Inputs!$B$4)</f>
        <v/>
      </c>
      <c r="H43" s="61">
        <f>IF(Inputs!$B$5=0,"",H42/Inputs!$B$5)</f>
        <v/>
      </c>
    </row>
    <row r="44" ht="13.80000019073486" customHeight="1" s="26">
      <c r="A44" s="43" t="n"/>
      <c r="B44" s="44" t="n"/>
      <c r="C44" s="45" t="n"/>
      <c r="D44" s="43" t="n"/>
      <c r="E44" s="44" t="n"/>
    </row>
    <row r="45" ht="13.80000019073486" customHeight="1" s="26">
      <c r="A45" s="28" t="inlineStr">
        <is>
          <t>Nota</t>
        </is>
      </c>
      <c r="B45" s="46" t="inlineStr">
        <is>
          <t>Esc A/B usan el menú Día 1 (8+2 propuesto, editable); Esc C usa el menú Día 2 (6+2 definido). Mínimo 50 por variedad solo aplica si la boca está seleccionada.</t>
        </is>
      </c>
      <c r="D45" s="28" t="n"/>
      <c r="E45" s="46" t="n"/>
    </row>
    <row r="46" ht="13.80000019073486" customHeight="1" s="26">
      <c r="A46" s="28" t="n"/>
      <c r="B46" s="47" t="n"/>
      <c r="D46" s="28" t="n"/>
      <c r="E46" s="47" t="n"/>
    </row>
    <row r="47" ht="13.80000019073486" customHeight="1" s="26">
      <c r="A47" s="28" t="n"/>
      <c r="B47" s="46" t="n"/>
      <c r="D47" s="28" t="n"/>
      <c r="E47" s="46" t="n"/>
    </row>
    <row r="48" ht="13.80000019073486" customHeight="1" s="26"/>
    <row r="49" ht="13.80000019073486" customHeight="1" s="26"/>
    <row r="50" ht="13.80000019073486" customHeight="1" s="26">
      <c r="A50" s="48" t="n"/>
      <c r="B50" s="49" t="n"/>
      <c r="C50" s="49" t="n"/>
      <c r="D50" s="49" t="n"/>
      <c r="E50" s="49" t="n"/>
    </row>
    <row r="51" ht="13.80000019073486" customHeight="1" s="26">
      <c r="A51" s="43" t="n"/>
      <c r="B51" s="44" t="n"/>
      <c r="C51" s="45" t="n"/>
      <c r="D51" s="43" t="n"/>
      <c r="E51" s="44" t="n"/>
    </row>
    <row r="52" ht="13.80000019073486" customHeight="1" s="26">
      <c r="A52" s="28" t="n"/>
      <c r="B52" s="46" t="n"/>
      <c r="D52" s="28" t="n"/>
      <c r="E52" s="46" t="n"/>
    </row>
    <row r="53" ht="13.80000019073486" customHeight="1" s="26">
      <c r="A53" s="28" t="n"/>
      <c r="B53" s="47" t="n"/>
      <c r="D53" s="28" t="n"/>
      <c r="E53" s="47" t="n"/>
    </row>
    <row r="54" ht="13.80000019073486" customHeight="1" s="26">
      <c r="A54" s="28" t="n"/>
      <c r="B54" s="46" t="n"/>
      <c r="D54" s="28" t="n"/>
      <c r="E54" s="46" t="n"/>
    </row>
  </sheetData>
  <mergeCells count="1">
    <mergeCell ref="A1:P1"/>
  </mergeCells>
  <conditionalFormatting sqref="P13:P33">
    <cfRule type="expression" priority="2" dxfId="0">
      <formula>LEN(P13)&gt;0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2026-05-28T09:18:16Z</dcterms:created>
  <dcterms:modified xmlns:dcterms="http://purl.org/dc/terms/" xmlns:xsi="http://www.w3.org/2001/XMLSchema-instance" xsi:type="dcterms:W3CDTF">2026-05-28T09:18:16Z</dcterms:modified>
</cp:coreProperties>
</file>
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E COSTS" sheetId="1" r:id="rId5"/>
    <sheet state="visible" name="AVIANCA" sheetId="2" r:id="rId6"/>
    <sheet state="visible" name="LINEA EJECUTIVA" sheetId="3" r:id="rId7"/>
  </sheets>
  <definedNames>
    <definedName hidden="1" localSheetId="0" name="_xlnm._FilterDatabase">'CORE COSTS'!$A$1:$U$180</definedName>
  </definedNames>
  <calcPr/>
</workbook>
</file>

<file path=xl/sharedStrings.xml><?xml version="1.0" encoding="utf-8"?>
<sst xmlns="http://schemas.openxmlformats.org/spreadsheetml/2006/main" count="1602" uniqueCount="402">
  <si>
    <t>EVENTO</t>
  </si>
  <si>
    <t>AREA/ZONA</t>
  </si>
  <si>
    <t>CENTRO DE COSTO</t>
  </si>
  <si>
    <t>ITEM</t>
  </si>
  <si>
    <t>DESCRIPCIÓN</t>
  </si>
  <si>
    <t>NOTAS/OBSERVACIONES</t>
  </si>
  <si>
    <t>IN-KIND?</t>
  </si>
  <si>
    <t>PRODUCTION AGENCY FEE?</t>
  </si>
  <si>
    <t>QTY</t>
  </si>
  <si>
    <t>UoM</t>
  </si>
  <si>
    <t>¿CONTRATACION POR DIAS?</t>
  </si>
  <si>
    <t>QTY DIAS</t>
  </si>
  <si>
    <t>PRECIO UNITARIO</t>
  </si>
  <si>
    <t>SUBTOTAL</t>
  </si>
  <si>
    <t>¿APLICA FEE DE PRODUCCION?</t>
  </si>
  <si>
    <t>FEE</t>
  </si>
  <si>
    <t>SUBTOTAL CON FEE</t>
  </si>
  <si>
    <t>IVA</t>
  </si>
  <si>
    <t>TOTAL</t>
  </si>
  <si>
    <t>COTIZACION</t>
  </si>
  <si>
    <t>DOCUMENTO DE DETALLE</t>
  </si>
  <si>
    <t>MAIN EVENT</t>
  </si>
  <si>
    <t xml:space="preserve">INGRESO ESEN Y PARQUEO </t>
  </si>
  <si>
    <t>STAFF</t>
  </si>
  <si>
    <t>GESTORES VMT</t>
  </si>
  <si>
    <t>GESTORES DE TRAFICO DE APOYO PARA EVITAR CONGESTION EN INGRESO ESEN</t>
  </si>
  <si>
    <t xml:space="preserve">SE DEBE CONTEMPLAR COSTO DEL SERVICIO CIVIL Y ALIMENTOS PARA VTM. PUEDE QUE SEA IN-KIND Y SOLO CORRERIAMOS CON ALIMENTOS. </t>
  </si>
  <si>
    <t>PERSONA</t>
  </si>
  <si>
    <t>SI</t>
  </si>
  <si>
    <t>NO</t>
  </si>
  <si>
    <t>NA</t>
  </si>
  <si>
    <t>BOUNCER EN PLUMA (3 HORAS DE SERVICIO)</t>
  </si>
  <si>
    <t xml:space="preserve">CONTRATADO VIA AURORA360. </t>
  </si>
  <si>
    <t>VOLUNTARIOS</t>
  </si>
  <si>
    <t>LEAD VOLUNTARIO EN PLUMA</t>
  </si>
  <si>
    <t>VOLUNTARIO</t>
  </si>
  <si>
    <t>VOLUNTARIOS UBICANDO PARQUEOS</t>
  </si>
  <si>
    <t>SEÑALETICA</t>
  </si>
  <si>
    <t>ESTRUCTURA Y BANDEROLAS PUBLICITARIAS</t>
  </si>
  <si>
    <t>PARA EXTERIOR, COMO GUIA EN LA CALLE PRINCIPAL FRENTE A LA ENTRADA DE LA ESEN</t>
  </si>
  <si>
    <t xml:space="preserve">SE DEBERAN CONTRATAR POR APARTE PARA OBVIAR AGENCY FEE. </t>
  </si>
  <si>
    <t>PENDING</t>
  </si>
  <si>
    <t>RIDE SHARE/DROP-OFF ZONE</t>
  </si>
  <si>
    <t>PRODUCCIÓN Y MONTAJE</t>
  </si>
  <si>
    <t>MUPPIES DIGITALES (DIMENSIONES TBD)</t>
  </si>
  <si>
    <t>UNIDAD</t>
  </si>
  <si>
    <t>GREETERS</t>
  </si>
  <si>
    <t>INGRESO 1 via DROP OFF ZONE</t>
  </si>
  <si>
    <t>FOOT TRAFFIC MANAGERS</t>
  </si>
  <si>
    <t>HANDHELD PADEL SIGNS</t>
  </si>
  <si>
    <t xml:space="preserve">SE DEBERAN CONTRATAR CON UNA IMPRENTA DIRECTAMENTE PARA OBVIAR AGENCY FEE. </t>
  </si>
  <si>
    <t>QUEUE MANAGERS</t>
  </si>
  <si>
    <t>MOBILIARIO</t>
  </si>
  <si>
    <t>UNIFILAS PARA QUEUE</t>
  </si>
  <si>
    <t>A2</t>
  </si>
  <si>
    <t>MESA METALICA + 2 SILLAS DEL LOBBY  DE ESEN PARA TAQUILLA CON MANTEL</t>
  </si>
  <si>
    <t>MOBILIARIO EN LOBBY DE LA ESEN A REUBICAR</t>
  </si>
  <si>
    <t>JUEGO</t>
  </si>
  <si>
    <t>PROVEE ESEN</t>
  </si>
  <si>
    <t>MANTELERIA</t>
  </si>
  <si>
    <t>MANTEL PARA MESA METALICA PARA TAQUILLA</t>
  </si>
  <si>
    <t xml:space="preserve">MANTELERIA SE MANDARA HACER PARA OBVIAR COSTOS ALTOS DE ALQUILER DE MANTELES. </t>
  </si>
  <si>
    <t>A4</t>
  </si>
  <si>
    <t>ROTULO PARA MESA PARA TAQUILLA (60 × 20 cm)</t>
  </si>
  <si>
    <t>FUN CAPITAL STAFF</t>
  </si>
  <si>
    <t>SCANNING STAFF</t>
  </si>
  <si>
    <t>PROPUESTA DE VALOR FUN CAPITAL CAMILA.pdf</t>
  </si>
  <si>
    <t>TAQUILLA STAFF</t>
  </si>
  <si>
    <t>PERSONAL DE FUN CAPITAL PARA VENTA IN-SITU (DAY 1 ONLY).</t>
  </si>
  <si>
    <t xml:space="preserve">PUEDE NO REQUERIRSE. SE EVALUARA EN CONJUNTO CON MITTR. </t>
  </si>
  <si>
    <t>INGRESO 2 "PRINCIPAL" via GRADAS (DE PARQUEO O GRADAS PAREDON EXTERNO)</t>
  </si>
  <si>
    <t>QUEUE MANAGERS EXTERIORES</t>
  </si>
  <si>
    <t>UNIFILAS PARA RESTRINGIR PASO A AREAS</t>
  </si>
  <si>
    <t>UNIFILAS PARA QUEUE EXTERIOR</t>
  </si>
  <si>
    <t>PULSERAS</t>
  </si>
  <si>
    <t xml:space="preserve">PULSERAS PARA IDENTIFICAR TIPO DE TICKET/ACCESOS. SE ADQUIRIRAN VIA FUN CAPITAL COMO UNO DE SUS SERVICIOS. </t>
  </si>
  <si>
    <t>AREA DE REGISTRO @ LOBBY</t>
  </si>
  <si>
    <t>UNIFILAS PARA QUEUE/REGISTRO INTERIOR</t>
  </si>
  <si>
    <t>ADAPTADOR DE LETRERO PARA UNIFILAS PARA QUEUE/REGISTRO INTERIOR</t>
  </si>
  <si>
    <t>SILLAS PARA REGISTRO ESEN (PLASTICAS NEGRAS)</t>
  </si>
  <si>
    <t>MESA ESEN PARA REGISTRO</t>
  </si>
  <si>
    <t>SE UTILIZARAN LAS MESAS DE ESEN (TIPO ESCRITORIO0</t>
  </si>
  <si>
    <t>MESA ESEN (1.80 X 0.85 M) PARA REGISTRO ESPECIAL (VIPs/Press/Restricciones Alimentarias)</t>
  </si>
  <si>
    <t>MESA ESEN (1.80 X 0.85 M) PARA IMPRESION DE BADGES</t>
  </si>
  <si>
    <t>ELECTRONICOS</t>
  </si>
  <si>
    <t>COMPUTADORAS LAPTOP PARA VOLUNTARIOS DE REGISTRO (BYOD POLICY)</t>
  </si>
  <si>
    <t>BRING YOUR OWN DEVICE POLICY</t>
  </si>
  <si>
    <t>QUEUE MANAGERS DE REGISTRO</t>
  </si>
  <si>
    <t>SOPORTE DE REGISTRO Y CHECK IN/ENTREGA DE ATTENDEE GOODIE BAG</t>
  </si>
  <si>
    <t>AMENITIES</t>
  </si>
  <si>
    <t>LIBRETA Y LAPICERO PROMOCIONAL MAS IMPRESION [ATTENDEE GOODIE BAG]</t>
  </si>
  <si>
    <t>BOLSA TRIFOLD NEGRA PROMOCIONAL MAS IMPRESION  [ATTENDEE GOODIE BAG]</t>
  </si>
  <si>
    <t>BADGES &amp; LANDYARD</t>
  </si>
  <si>
    <t>BADGES Y LANDYARDS PARA SPEAKERS (24), ORGANIZADORES/ORGANIZING STAFF (10), VOLUNTARIOS (30), ATTENDEES (485)</t>
  </si>
  <si>
    <t>IMPRESOS</t>
  </si>
  <si>
    <t>TICKETS REDENCION LUNCH EN PAPEL FOLCOTE 5X5CMS</t>
  </si>
  <si>
    <t xml:space="preserve">TICKETS A UTILIZAR PARA EFECTOS DE LOGISTICA DE ENTREGA DE LUNCHBOXES. </t>
  </si>
  <si>
    <t xml:space="preserve">COTIZAR CON IMPRENTA </t>
  </si>
  <si>
    <t>A3</t>
  </si>
  <si>
    <t>LOBBY</t>
  </si>
  <si>
    <t>TOTEM DIGITAL PARA AGENDA Y LOOPS</t>
  </si>
  <si>
    <t>escribir a flor o proveedor q corrija coti para que nos den esto de cortesia como plantea el proovedor</t>
  </si>
  <si>
    <t>A1</t>
  </si>
  <si>
    <t>BACKING PARA FOTOGRAFIAS EN LOBBY CON PERFILERIA Y LONA TENSADA MATE FULL COLOR 4X3 METROS</t>
  </si>
  <si>
    <t>esto vario en 3er scouting</t>
  </si>
  <si>
    <t>BOOTHS/STANDS</t>
  </si>
  <si>
    <t xml:space="preserve">C2 LABS </t>
  </si>
  <si>
    <t>OPINNO</t>
  </si>
  <si>
    <t>SERVICIO</t>
  </si>
  <si>
    <t>ELECTRICO</t>
  </si>
  <si>
    <t>ACCESOS A TOMA 220 EN BOOTHS Y 1 TOMA 110 PARA AREA DE REGISTRO</t>
  </si>
  <si>
    <t>INTERNET</t>
  </si>
  <si>
    <t>RED DE INTERNET PARA FALLBACK DE ASISTENTES (ESEN 500 MB)</t>
  </si>
  <si>
    <t>BACKSTAGE</t>
  </si>
  <si>
    <t>MESA ESEN (1.80 X 0.85 CM) PARA BACKSTAGE</t>
  </si>
  <si>
    <t>MANTEL PARA MESA (6 ft) PARA BACKSTAGE</t>
  </si>
  <si>
    <t>SILLAS PARA TECNICOS ESEN (PLASTICA NEGRA)</t>
  </si>
  <si>
    <t xml:space="preserve">SILLAS PLASTICAS NEGRAS ESEN. </t>
  </si>
  <si>
    <t>DIVISION DE PERFILERIA CON PVC BLANCO CON PUERTA 5 X 2.40 M PARA BACKSTAGE CON LONA FULL COLOR</t>
  </si>
  <si>
    <t>SPEAKER MANAGERS</t>
  </si>
  <si>
    <t>AUDITORIO/MAIN STAGE</t>
  </si>
  <si>
    <t>ESCENOGRAFIA - TARIMA 14.64 X 3.66 X 0.30 CON CHAROL NEGRO Y GRADAS LATERAL DERECHO (POV HACIA PUBLICO)</t>
  </si>
  <si>
    <t>A6 ON TIME SOLUTIONS CAMILA CRUZ.pdf</t>
  </si>
  <si>
    <t>ESCENOGRAFIA - LUZ LED PARA ORILLA DE TARIMA</t>
  </si>
  <si>
    <t>ILUMINACIÓN</t>
  </si>
  <si>
    <t>ESCENOGRAFIA - BARRAS DE LUZ PARA BAÑAR FONDO/PARED PRINCIPAL AUDITORIO</t>
  </si>
  <si>
    <t>ESCENOGRAFIA - LOGO EMTECH DIGITAL LATAM PARA ESCENARIO SIN ILUMINACIÓN</t>
  </si>
  <si>
    <t>A9</t>
  </si>
  <si>
    <t>MOBILIARIO ESCENOGRAFICO - SOFA INDIVIDUAL EJECUTIVO NEGRO DE ESEN</t>
  </si>
  <si>
    <t>MOBILIARIO ESCENOGRAFICO - SILLAS PARA PONENTES</t>
  </si>
  <si>
    <t>MOBILIARIO ESCENOGRAFICO - CUBO ACRILICO PARA MESA LATERAL DE 45X45 CM</t>
  </si>
  <si>
    <t>A7</t>
  </si>
  <si>
    <t>MOBILIARIO ESCENOGRAFICO - CUBO ACRILICO PARA MESA LATERAL DE 20X20 CM</t>
  </si>
  <si>
    <t>MOBILIARIO ESCENOGRAFICO - PODIO DE ESEN</t>
  </si>
  <si>
    <t>MOBILIARIO ESCENOGRAFICO - MAGNETO CON BRANDING FULL COLOR PARA PODIO DE ESEN (DIMENSIONES TBD)</t>
  </si>
  <si>
    <t>SILLAS COORDINACIÓN STAGE-SIDE ESEN</t>
  </si>
  <si>
    <t>SILLAS EXTRA ASISTENTES ESEN</t>
  </si>
  <si>
    <t>BUTACAS FIJAS ESEN</t>
  </si>
  <si>
    <t>DIVISION DE PERFILERIA PARA 2 CAMARAS A LOS LATERALES (DIMENSIONES TBD)</t>
  </si>
  <si>
    <t>PAQUETE</t>
  </si>
  <si>
    <t>TARIMA PARA 2 CAMARAS A LOS LATERALES (1.20X1.20X0.50m)</t>
  </si>
  <si>
    <t>ILUMINACION MAIN STAGE PARA PONENTES Y PARTICIPANTES</t>
  </si>
  <si>
    <t>AUDIO</t>
  </si>
  <si>
    <t>4 SISTEMA DE AUDIO AUTOAMPLIFICADO CON 7 MICROFONOS, MIXER Y OPERADOR</t>
  </si>
  <si>
    <t>MONITOR PARA PRENSA</t>
  </si>
  <si>
    <t>MESA ESEN (1.80 X 0.85 M) PARA AV SET UP</t>
  </si>
  <si>
    <t>MANTEL PARA MESA PARA AV SET UP</t>
  </si>
  <si>
    <t>SILLAS PARA TECNICOS EN AV SET UP</t>
  </si>
  <si>
    <t>PRODUCCION AUDIOVISUAL</t>
  </si>
  <si>
    <t>CAMARA PTZ: TRÍPODE, CABLES Y CONTROLADOR IP DEL EQUIPO.</t>
  </si>
  <si>
    <t>PROAUDIO V3.pdf</t>
  </si>
  <si>
    <t>CAMARA FHD: TRÍPODE Y CABLES.</t>
  </si>
  <si>
    <t>RECORDING DEVICE AND 4 HDD: DISPOSITIVO DE GRABACIÓN Y HDD.</t>
  </si>
  <si>
    <t>CCTV -HARDWARE/CABLES PARA DISTRIBUCION DE SEÑAL MAINSTAGE</t>
  </si>
  <si>
    <t>SWITCHER, PC, CAPTURE CARDS, SWOOGO SOFTWARE</t>
  </si>
  <si>
    <t>PRODUCCION DE GRAFICOS (INTRO, 25 GRAFICOS X SPEAKERS, SALIDAS)</t>
  </si>
  <si>
    <t>PANTALLA LED P3 14m x 4m, ESTRUCTURAS Y PROCESADOR</t>
  </si>
  <si>
    <t>PIEZAS</t>
  </si>
  <si>
    <t>PANTALLA LED P3 1m x 4m (PANTALLA LATERAL)</t>
  </si>
  <si>
    <t>MONITOR DE REFERENCIA 75' (ESTILO TELEPROMPTERS)</t>
  </si>
  <si>
    <t>COMUNICACION</t>
  </si>
  <si>
    <t>AURICULARES</t>
  </si>
  <si>
    <t>DISPOSITIVOS DE COMUNICACION PARA ORGANIZADORES, PRODUCCION Y AV TEAM</t>
  </si>
  <si>
    <t>PERSONAL TECNICO DE PRODUCCIÓN AV: STREAMING, LED, FLOOR MANAGEMENT, ETC)</t>
  </si>
  <si>
    <t>PERSONAL TECNICO DE PRODUCCIÓN AV: STREAMING, LED, FLOOR MANAGEMENT, ETC) PARA ENSAYO (4HR)</t>
  </si>
  <si>
    <t>PERSONAL PRODUCCIÓN AURORA360: SUPERVISORES DIA DEL EVENTO</t>
  </si>
  <si>
    <t>PERSONAL PRODUCCIÓN AURORA360: SUPERVISORES DIA(S) DE MONTAJE</t>
  </si>
  <si>
    <t>PERSONAL PRODUCCIÓN AURORA360: SUPERVISORES DIA(S) DE DESMONTAJE</t>
  </si>
  <si>
    <t>DOOR HANDLERS</t>
  </si>
  <si>
    <t>MIC RUNNERS</t>
  </si>
  <si>
    <t>RED DE INTERNET PARA MAINSTAGE/BACKSTAGE (CLARO)</t>
  </si>
  <si>
    <t>RED DE INTERNET PARA FALLBACK DE MAINSTAGE/BACKSTAGE</t>
  </si>
  <si>
    <t xml:space="preserve">LIVING SPACE (CAFETERIA) </t>
  </si>
  <si>
    <t>JUEGOS ALTOS MESA RENDONDA + 4 STOOLS NEGROS DELIBAQUETES SIN MANTEL</t>
  </si>
  <si>
    <t>JUEGOS</t>
  </si>
  <si>
    <t>A10</t>
  </si>
  <si>
    <t>JUEGOS BAJOS METAL INTERNOS (SOLO MESAS) ESEN CON MANTEL</t>
  </si>
  <si>
    <t>MANTEL PARA MESA METAL ESEN (DIMENSIONES TBD)</t>
  </si>
  <si>
    <t>SILLAS NEGRAS PARA MESA METAL ESEN CON MANTEL</t>
  </si>
  <si>
    <t>CHARGING STATIONS</t>
  </si>
  <si>
    <t>SISTEMA DE AUDIO AUTOAMPLIFICADO CON MICROFONO, MIXER, Y OPERADOR</t>
  </si>
  <si>
    <t>ILUMINACION</t>
  </si>
  <si>
    <t>ILUMINACION PARADES CAFETERIA</t>
  </si>
  <si>
    <t>TOMAS 110 PARA BOOTH (2 TOMAS POR BOOTH)</t>
  </si>
  <si>
    <t>CUBO ACRILICO PARA DECORACIÓN DE 45X45 CM</t>
  </si>
  <si>
    <t>CUBO ACRILICO PARA DECORACIÓN DE 20X20 CM</t>
  </si>
  <si>
    <t>DIVISIÓN DE PERFILERIA CON PVC BLANCO PARA CAFETERIA 20 MTS</t>
  </si>
  <si>
    <t>BOOTH ESEN</t>
  </si>
  <si>
    <t>BOOTH ANIA</t>
  </si>
  <si>
    <t>EXTRA BOOTHS TBD...</t>
  </si>
  <si>
    <t>TBD</t>
  </si>
  <si>
    <t>RED DE INTERNET PARA ASISTENTES DEL EVENTO</t>
  </si>
  <si>
    <t xml:space="preserve">LIVING SPACE (TERRAZA) </t>
  </si>
  <si>
    <t>JUEGOS MESAS Y SILLAS BAJAS METALICOS EN TERRAZA AL AIRE LIBRE ESEN</t>
  </si>
  <si>
    <t>JUEGOS BAJOS METAL INTERNOS (SOLO MESAS) ESEN SIN MANTEL</t>
  </si>
  <si>
    <t>SILLAS NEGRAS ESEN PARA MESA METAL ESEN SIN MANTEL</t>
  </si>
  <si>
    <t>ILUMINACION PARADES PLANTAS/AMBIENTE TERRAZA</t>
  </si>
  <si>
    <t>SEGUNDA BARRA DE BEBIDAS TIPO O/U/ISLA</t>
  </si>
  <si>
    <t>ZONA DE ALIMENTOS @ PING PONG ROOM</t>
  </si>
  <si>
    <t>MESA LIFETIMES DE 1.80 X 0.85 M (ZONA DE ALMACENAMIENTO DE ALIMENTOS)</t>
  </si>
  <si>
    <t>MANTEL PARA SERVICIO DE ALIMENTOS</t>
  </si>
  <si>
    <t>BARRAS PARA ZONA DE ALIMENTOS 2M LARGO X 1.40M ALTURA X 0.40 PROFUNDIDAD CON BRANDING FRONTAL (REPISAS Y LUZ PARA LA NOCHE)</t>
  </si>
  <si>
    <t>ESTAS BARRAS SE UTILIZARÁN PARA MONTAR LOS COFFE BREAKS TAMBIEN</t>
  </si>
  <si>
    <t>2 TOMAS 110</t>
  </si>
  <si>
    <t>EQUIPO</t>
  </si>
  <si>
    <t>PERCOLADORA DE CAFE</t>
  </si>
  <si>
    <t>HIELERAS</t>
  </si>
  <si>
    <t>MENAJE DESECHABLE</t>
  </si>
  <si>
    <t>MENAJE &amp; SUMINISTROS OPERATIVOS</t>
  </si>
  <si>
    <t>BANDEJAS</t>
  </si>
  <si>
    <t>FOOD &amp; BEVERAGE SERVICE STAFF</t>
  </si>
  <si>
    <t>MONTIEL - Camila Cruz.pdf</t>
  </si>
  <si>
    <t>CATERING</t>
  </si>
  <si>
    <t>ANDIAN - LUNCH AND COFFEE BREAKS [DIA 1 &amp; 2 - TRANSPORTE E IVA INC.] (QUOTATION BASED ON 400 PEOPLE)</t>
  </si>
  <si>
    <t>ANDIAN - 2026.pdf</t>
  </si>
  <si>
    <t>DELIBANQUETES - BOCAS COCTEL [DIA 1 &amp; 2 - TRANSPORTE E IVA NO INC.] (QUOTATION BASED ON 400 PEOPLE)</t>
  </si>
  <si>
    <t>C2 LABB, CAMILA CRUZ, COCTEL SOLO ENTREGA, NOVIEMBRE 1.pdf</t>
  </si>
  <si>
    <t>BEBIDAS NO ALCOHOLICAS [DIA 1 &amp; 2 - TRANSPORTE E IVA NO INC.]</t>
  </si>
  <si>
    <t>AGUA EMBOTELLADA [DIA 1 &amp; 2 - TRANSPORTE E IVA NO INC.]</t>
  </si>
  <si>
    <t>ESTACION DE CAFE</t>
  </si>
  <si>
    <t>ESTACION DE CAFE PERMANENTE [DIA 1 &amp; 2 - TRANSPORTE E IVA NO INC.]</t>
  </si>
  <si>
    <t>PERCOLADORAS DE CAFE</t>
  </si>
  <si>
    <t>MESA LIFETIMES DE 1.80 X 0.85 M</t>
  </si>
  <si>
    <t>MANTELES CON FALDON</t>
  </si>
  <si>
    <t>PRESS/SPEAKER ROOM</t>
  </si>
  <si>
    <t>JUEGOS DE MESAS Y SILLAS (2 MESAS + 6 SILLAS) ESEN</t>
  </si>
  <si>
    <t>SILLONES EJECUTIVOS AMARILLOS (ESEN)</t>
  </si>
  <si>
    <t>BACKING DE ENTREVISTAS 3M x 2.40M</t>
  </si>
  <si>
    <t>ESEN IT ASSISTANT</t>
  </si>
  <si>
    <t>REPLAY ROOM 1</t>
  </si>
  <si>
    <t>REPLAY ROOM 2</t>
  </si>
  <si>
    <t>REPLAY ROOM ASSISTANT</t>
  </si>
  <si>
    <t>REPLAY ROOM 3</t>
  </si>
  <si>
    <t>RED DE INTERNET PARA REPLAY ROOMS (ESEN)</t>
  </si>
  <si>
    <t>REPLAY ROOM 4</t>
  </si>
  <si>
    <t>RED DE INTERNET PARA FALLBACK DE REPLAY ROOMS</t>
  </si>
  <si>
    <t>SHORT FORM EXPERIENCE ROOM</t>
  </si>
  <si>
    <t>WASTE MANAGEMENT &amp; GENERAL CLEANING</t>
  </si>
  <si>
    <t>WASTE MANAGEMENT</t>
  </si>
  <si>
    <t>BASURERO REDONDO RUBBERMAID CAPACIDAD 55 GALONES.</t>
  </si>
  <si>
    <t>BOLSAS DE BASURA 55 GALONES</t>
  </si>
  <si>
    <t>https://www.pricesmart.com/es-sv/producto/members-selection-bolsas-para-la-basura-50-unidades-208-l-55-gal-732573/732573</t>
  </si>
  <si>
    <t>PERSONAL DE LIMPIEZA BAÑOS ESEN</t>
  </si>
  <si>
    <t>AUXILIAR DE LIMPIEZA</t>
  </si>
  <si>
    <t>TRANSPORTE DE EQUIPO Y/O ELEMENTOS DE PRODUCCIÓN &amp; MONTAJE</t>
  </si>
  <si>
    <t>TRANSPORTE MOBILIARIO Y EQUIPO</t>
  </si>
  <si>
    <t>CUBOS ACRILICOS</t>
  </si>
  <si>
    <t>MESAS, SILLAS Y MANTELES</t>
  </si>
  <si>
    <t>TRANSPORTE ALIMENTOS</t>
  </si>
  <si>
    <t>DOMICILIO DELIBANQUETES</t>
  </si>
  <si>
    <t>TRANSPORTE IMPRENTA</t>
  </si>
  <si>
    <t>IMPRESIONES DIVERSAS</t>
  </si>
  <si>
    <t>AFICHES CON LAMINADO PARA AREAS (MAIN STAGE, BACKSTAGE, REPLAY ROOM 1, REPLAY ROOM 2, REPLAY ROOM 3, 4 PARA REGISTRO + 2 EXTRAS)</t>
  </si>
  <si>
    <t>AFICHES LAMINADO DE BIENVENIDA</t>
  </si>
  <si>
    <t>PALETAS INFORMATIVAS DE 5.5 X 8.5 IN</t>
  </si>
  <si>
    <t>PEDESTAL CON SEÑALETICA (SPEAKER/PRESS ROOM, 2 EN PARQUEO, 2 SHORT FORM EXPERIENCE ROOM, 2 EXTRAS)</t>
  </si>
  <si>
    <t>ROTULOS EN SHORT FORM EXPERIENCE ROOM</t>
  </si>
  <si>
    <t>ROTULOS PARA ESPACIOS RESERVADOS</t>
  </si>
  <si>
    <t>TARJETA DE 3X2 IN PARA MENÚ Y ALERGIAS</t>
  </si>
  <si>
    <t>TARJETA DE 3X2 IN PARA CAFETERAS</t>
  </si>
  <si>
    <t>ROTULOS DE FOLCOTE PARA METER EN ACRILICOS. MEDIA CARTA</t>
  </si>
  <si>
    <t>LICENCIAS</t>
  </si>
  <si>
    <t>MITTR/OPINNO</t>
  </si>
  <si>
    <t>LICENCIA MITTR - ON-TIME FEE</t>
  </si>
  <si>
    <t>STREAMING</t>
  </si>
  <si>
    <t>SWOOGO (2 LICENSES, 1 EACH TYPE) - ANNUAL</t>
  </si>
  <si>
    <t>VIMEO LICENSE BUDGET - MENSUAL</t>
  </si>
  <si>
    <t>PLAN DE SEGURIDAD, PREVENCIÓN Y RESPUESTA A EMERGENCIAS</t>
  </si>
  <si>
    <t>AMBULANCIA</t>
  </si>
  <si>
    <t>CRUZ ROJA</t>
  </si>
  <si>
    <t>CONSIDERAR ALIMENTACION VIA CAFETERIA DE LA ESEN</t>
  </si>
  <si>
    <t xml:space="preserve">TICKETING </t>
  </si>
  <si>
    <t>FUN CAPITAL TICKETING SERVICES 10% OVER TICKET PRICE</t>
  </si>
  <si>
    <t>10% DE LAS VENTAS, TRANSFERIBLE AL ASISTENTE</t>
  </si>
  <si>
    <t>MAIN EVENT VIP DINNER</t>
  </si>
  <si>
    <t>HOSPITALITY</t>
  </si>
  <si>
    <t>ALIMENTACION</t>
  </si>
  <si>
    <t>CENA/MARIDAJE EN MONARCA CON SOMMERLIER MARGARITA MACHON</t>
  </si>
  <si>
    <t>CENA VIP</t>
  </si>
  <si>
    <t>Menu Maridaje Camila Cruz.docx</t>
  </si>
  <si>
    <t xml:space="preserve">FOTOGRAFIA Y VIDEO </t>
  </si>
  <si>
    <t>BUDGET FOTOGRAFO Y VIDEOGRAFO MAIN EVENT ($8K)</t>
  </si>
  <si>
    <t>SE CONTEMPLA UNICAMENTE A NIVEL BUDGET. PERFILES RECOMENDADOS A CONTACTAR - IN PROGRESS.</t>
  </si>
  <si>
    <t xml:space="preserve">PR </t>
  </si>
  <si>
    <t>PR BUDGET</t>
  </si>
  <si>
    <t>BUDGET PARA AGENCIA DE PR ($5K)</t>
  </si>
  <si>
    <t>SE CONTEMPLA UNICAMENTE A NIVEL BUDGET. STAKEHOLDERS RECOMENDADOS A CONTACTAR - IN PROGRESS.</t>
  </si>
  <si>
    <t>MARKETING &amp; COMMUNICATIONS</t>
  </si>
  <si>
    <t>MARKETING &amp; COMMUNICATIONS BUDGET</t>
  </si>
  <si>
    <t>BUDGET PARA PAUTA ($3K)</t>
  </si>
  <si>
    <t>BEFORE/AFTER MAIN EVENT</t>
  </si>
  <si>
    <t>BUDGET DE VIATICOS ALIMENTARIOS PARA SPEAKERS INTERNACIONALES Y COMITE ORGANIZADOR [TIEMPOS DE COMIDA FUERA DE AGENDA EVENTO ($6K)</t>
  </si>
  <si>
    <t>SE CONTEMPLA UNICAMENTE A NIVEL BUDGET. PROOVEDORES RECOMENDADOS A CONTACTAR - IN PROGRESS.</t>
  </si>
  <si>
    <t>MOBILITY</t>
  </si>
  <si>
    <t>AERIAL TRANSPORTATION</t>
  </si>
  <si>
    <t>VUELOS PARA PONENTES INTERNANCIONALES Y EQUIPO ORGANIZADORES</t>
  </si>
  <si>
    <t>BLOQUE DE VUELOS NEGOCIADOS CON AVIANCA</t>
  </si>
  <si>
    <t>AVIANCA COTIZACION.pdf</t>
  </si>
  <si>
    <t>AIRPORT RECEPTION ASSITANCE</t>
  </si>
  <si>
    <t xml:space="preserve">SERVICIO SALA VIP @ SAL </t>
  </si>
  <si>
    <t>"Recpcion de viajeros por personal especializado quienes:
1) Le reciben en la puerta de salida, luego es trasladado a nuestra sala VIP
2) Realizan sus trámites migratorios mientras permanece comodamente en sala VIP (No incluye el pago de Tarjeta Migratoria de Ingreso para extranjeros, US$ 12.00 según aplique.)
3) Recoge el equipaje del pasajero y realiza tramites de Aduana (No está incluido el uso de carretilla para movilizar el equipaje, valor US$ 3.00 por carretilla)
4) Una vez sellado el pasaporte y con el equipaje, se entrega al pasajero
Sale por la puerta de entrada principal (egreso VIP) del aeropuerto con acceso prioritario a parqueo de acceso a nuestro proveedor de transporte. "</t>
  </si>
  <si>
    <t>SERVICIOS</t>
  </si>
  <si>
    <t>https://www.cepa.gob.sv/servicios/servicio-vip-pasajeros-del-aies/</t>
  </si>
  <si>
    <t>TERRESTRIAL TRANSPORTATION</t>
  </si>
  <si>
    <t>ARRIVALS / TRASLADO DE LLEGADAS</t>
  </si>
  <si>
    <t>TRASLADOS AEROPUERTO &gt; HYATT.</t>
  </si>
  <si>
    <t>31-03-2026 CAMILA CRUZ (Por confirmar) MICROBUS HIACE 2 MODIF.pdf</t>
  </si>
  <si>
    <t>ACCOMODATIONS</t>
  </si>
  <si>
    <t>BLOQUE DE 30 HABITACIONES PARA LA ATENCION Y HOSPEDAJE DE PONENTES INTERNACIONALES Y STAFF ORGANIZADOR</t>
  </si>
  <si>
    <t>https://drive.google.com/drive/folders/1sgi9vNZHe5ucyLvVQM9qN9ZIoD0Qug2t?usp=sharing</t>
  </si>
  <si>
    <t>WELCOME KITS (SPEAKERS + ORGANIZERS) 30</t>
  </si>
  <si>
    <t>Cotización Insumos Varios Final - The Rack</t>
  </si>
  <si>
    <t>Cotización Caro Pa's Coffee</t>
  </si>
  <si>
    <t>IN ROOM WELCOME KIT DELIVERY SERVICE</t>
  </si>
  <si>
    <t>Cotización Final HC SS</t>
  </si>
  <si>
    <t>IN-CITY TRIPS / TRASLADO EN SS</t>
  </si>
  <si>
    <t>TODOS LOS TRASLADOS DE HOTEL, ESEN, MONARCA DURANTE SU ESTADIA EN SS.</t>
  </si>
  <si>
    <t>UBER BUDGET (EVENT CODE DISCOUNT SUBSIDY)</t>
  </si>
  <si>
    <t>PARA ASEGURAR UNA BUENA EXPERIENCIA, EN VISTA DEL PARQUEO LIMITADO  RELATIVO AL AFORO, SE CONTEMPLARA BRINDAR CODIGOS DE DESCUENTO EN RIDES, UN MONTO A UTILIZAR PARA MINIMIZAR VOLUMEN DE CARROS. SE CONTEMPLA UN DROP-OFF ZONE EN ZONA "VALET" ESEN.</t>
  </si>
  <si>
    <t>DEPARTURES / TRASLADO DE PARTIDAS</t>
  </si>
  <si>
    <t>TRASLADOS HYATT &gt; AEROPUERTO.</t>
  </si>
  <si>
    <t>ORGANIZERS</t>
  </si>
  <si>
    <t>EQUIPO C2 LABS (BILLABLE TIME)</t>
  </si>
  <si>
    <t>EQUIPO OPINNO (BILLABLE TIME)</t>
  </si>
  <si>
    <t>Grupo / Ruta</t>
  </si>
  <si>
    <t>Clase</t>
  </si>
  <si>
    <t>Asientos totales</t>
  </si>
  <si>
    <t>Costo por pasajero (USD)</t>
  </si>
  <si>
    <t>Costo total ruta (USD)</t>
  </si>
  <si>
    <t>Grupo A — San Francisco ⇄ San Salvador (SAL)</t>
  </si>
  <si>
    <t>Business Flex</t>
  </si>
  <si>
    <t>Grupo B — Boston ⇄ San Salvador (SAL)</t>
  </si>
  <si>
    <t>Grupo C — Mexico City ⇄ San Salvador (SAL)</t>
  </si>
  <si>
    <t>Medellín ⇄ San Salvador (SAL)</t>
  </si>
  <si>
    <t>TOTAL GENERAL (USD)</t>
  </si>
  <si>
    <t>ADEMAS DE CODIGOS DE DESCUENTO Y PORTAL PARA EL EVENTO</t>
  </si>
  <si>
    <t>15% EN TARIFAS ECONOMY</t>
  </si>
  <si>
    <t>20% EN TARIFAS BUSINESS</t>
  </si>
  <si>
    <t>REDENCION ILIMITADA.</t>
  </si>
  <si>
    <t>Arrivals / Traslados de llegada</t>
  </si>
  <si>
    <t>Grupo</t>
  </si>
  <si>
    <t>Procedencia</t>
  </si>
  <si>
    <t>Hora de llegada</t>
  </si>
  <si>
    <t>Pasajeros</t>
  </si>
  <si>
    <t>Distribución</t>
  </si>
  <si>
    <t>Hora de salida</t>
  </si>
  <si>
    <t>Origen</t>
  </si>
  <si>
    <t>Destino</t>
  </si>
  <si>
    <t>Unidad requerida</t>
  </si>
  <si>
    <t>Vehículos</t>
  </si>
  <si>
    <t>Costo por ruta (sin iva)</t>
  </si>
  <si>
    <t>Colombia + México</t>
  </si>
  <si>
    <t>4:00 p. m. + 7:05 p. m.</t>
  </si>
  <si>
    <t>1 de Colombia + 5 de México</t>
  </si>
  <si>
    <t>7:45 p. m.</t>
  </si>
  <si>
    <t>Aeropuerto Monseñor Óscar Arnulfo Romero</t>
  </si>
  <si>
    <t>Hyatt Centric San Salvador</t>
  </si>
  <si>
    <t>Toyota Hiace</t>
  </si>
  <si>
    <t>Boston</t>
  </si>
  <si>
    <t>8:15 p. m.</t>
  </si>
  <si>
    <t>7 + 7</t>
  </si>
  <si>
    <t>9:00 p. m.</t>
  </si>
  <si>
    <t>San Francisco</t>
  </si>
  <si>
    <t>8:50 p. m.</t>
  </si>
  <si>
    <t>Repartidos en 2 vehículos</t>
  </si>
  <si>
    <t>9:30 p. m.</t>
  </si>
  <si>
    <t>Subtotal</t>
  </si>
  <si>
    <t>Total con IVA</t>
  </si>
  <si>
    <t>In-City Trips / Traslados en SS</t>
  </si>
  <si>
    <t>Actividad</t>
  </si>
  <si>
    <t>Tramo</t>
  </si>
  <si>
    <t>Hora estimada de retorno</t>
  </si>
  <si>
    <t>Rehearsals</t>
  </si>
  <si>
    <t>Ida</t>
  </si>
  <si>
    <t>2:30 p. m.</t>
  </si>
  <si>
    <t>Llegada previa a rehearsals de 3:00 p. m.</t>
  </si>
  <si>
    <t>ESEN</t>
  </si>
  <si>
    <t>Regreso</t>
  </si>
  <si>
    <t>6:15 p. m. / 6:30 p. m.</t>
  </si>
  <si>
    <t>Fin de rehearsals 6:00 p. m.</t>
  </si>
  <si>
    <t>Día 1 evento</t>
  </si>
  <si>
    <t>6:45 a. m.</t>
  </si>
  <si>
    <t>Inicio operativo estimado 8:00 a. m.</t>
  </si>
  <si>
    <t>7:30 p. m.</t>
  </si>
  <si>
    <t>Cierre de jornada</t>
  </si>
  <si>
    <t>Día 2 evento</t>
  </si>
  <si>
    <t>Traslado a cena VIP</t>
  </si>
  <si>
    <t>Llegada estimada 8:00–8:20 p. m.</t>
  </si>
  <si>
    <t>Monarca</t>
  </si>
  <si>
    <t>Retorno post-cena VIP</t>
  </si>
  <si>
    <t>10:30 p. m. en adelante</t>
  </si>
  <si>
    <t>Según finalización de cena</t>
  </si>
  <si>
    <t>Departures / Traslados de salida</t>
  </si>
  <si>
    <t>Destino / vuelo</t>
  </si>
  <si>
    <t>Hora de vuelo</t>
  </si>
  <si>
    <t>7:45 a. m.</t>
  </si>
  <si>
    <t>4:00 a. m.</t>
  </si>
  <si>
    <t>México + Medellín</t>
  </si>
  <si>
    <t>9:05 a. m.</t>
  </si>
  <si>
    <t>5 México + 1 Medellín</t>
  </si>
  <si>
    <t>5:00 a. m.</t>
  </si>
  <si>
    <t>6:15 p. 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</si>
</sst>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1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Arial"/>
      <scheme val="minor"/>
    </font>
    <font>
      <sz val="11.0"/>
      <color theme="1"/>
      <name val="Calibri"/>
    </font>
    <font>
      <color rgb="FF434343"/>
      <name val="Roboto"/>
    </font>
    <font>
      <u/>
      <sz val="11.0"/>
      <color rgb="FF0563C1"/>
      <name val="Calibri"/>
    </font>
    <font>
      <u/>
      <sz val="11.0"/>
      <color rgb="FF0000FF"/>
      <name val="Calibri"/>
    </font>
    <font>
      <u/>
      <color theme="1"/>
      <name val="Arial"/>
      <scheme val="minor"/>
    </font>
    <font>
      <u/>
      <sz val="11.0"/>
      <color rgb="FF0563C1"/>
      <name val="Calibri"/>
    </font>
    <font>
      <u/>
      <sz val="11.0"/>
      <color rgb="FF434343"/>
      <name val="Calibri"/>
    </font>
    <font>
      <u/>
      <sz val="11.0"/>
      <color theme="1"/>
      <name val="Calibri"/>
    </font>
    <font>
      <u/>
      <sz val="11.0"/>
      <color rgb="FF0563C1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b/>
      <sz val="11.0"/>
      <color theme="1"/>
      <name val="Arial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</fills>
  <borders count="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3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1" fillId="2" fontId="5" numFmtId="0" xfId="0" applyAlignment="1" applyBorder="1" applyFill="1" applyFont="1">
      <alignment shrinkToFit="0" vertical="center" wrapText="0"/>
    </xf>
    <xf borderId="2" fillId="3" fontId="5" numFmtId="0" xfId="0" applyAlignment="1" applyBorder="1" applyFill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4" fontId="2" numFmtId="0" xfId="0" applyAlignment="1" applyFill="1" applyFont="1">
      <alignment horizontal="center" readingOrder="0" shrinkToFit="0" vertical="center" wrapText="0"/>
    </xf>
    <xf borderId="0" fillId="0" fontId="4" numFmtId="164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readingOrder="0" shrinkToFit="0" vertical="bottom" wrapText="0"/>
    </xf>
    <xf borderId="1" fillId="5" fontId="5" numFmtId="0" xfId="0" applyAlignment="1" applyBorder="1" applyFill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shrinkToFit="0" vertical="bottom" wrapText="0"/>
    </xf>
    <xf borderId="0" fillId="0" fontId="9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horizontal="right" shrinkToFit="0" vertical="bottom" wrapText="0"/>
    </xf>
    <xf borderId="0" fillId="0" fontId="11" numFmtId="0" xfId="0" applyAlignment="1" applyFont="1">
      <alignment shrinkToFit="0" vertical="bottom" wrapText="0"/>
    </xf>
    <xf borderId="3" fillId="0" fontId="12" numFmtId="0" xfId="0" applyAlignment="1" applyBorder="1" applyFont="1">
      <alignment shrinkToFit="0" vertical="bottom" wrapText="0"/>
    </xf>
    <xf borderId="2" fillId="3" fontId="5" numFmtId="0" xfId="0" applyAlignment="1" applyBorder="1" applyFont="1">
      <alignment readingOrder="0" shrinkToFit="0" vertical="center" wrapText="0"/>
    </xf>
    <xf borderId="1" fillId="2" fontId="5" numFmtId="0" xfId="0" applyAlignment="1" applyBorder="1" applyFont="1">
      <alignment readingOrder="0" shrinkToFit="0" vertical="center" wrapText="0"/>
    </xf>
    <xf borderId="0" fillId="0" fontId="13" numFmtId="0" xfId="0" applyAlignment="1" applyFont="1">
      <alignment readingOrder="0" shrinkToFit="0" vertical="bottom" wrapText="0"/>
    </xf>
    <xf borderId="0" fillId="6" fontId="14" numFmtId="0" xfId="0" applyAlignment="1" applyFill="1" applyFont="1">
      <alignment readingOrder="0" shrinkToFit="0" vertical="center" wrapText="0"/>
    </xf>
    <xf borderId="0" fillId="2" fontId="15" numFmtId="0" xfId="0" applyAlignment="1" applyFont="1">
      <alignment shrinkToFit="0" vertical="bottom" wrapText="0"/>
    </xf>
    <xf borderId="0" fillId="0" fontId="2" numFmtId="0" xfId="0" applyAlignment="1" applyFont="1">
      <alignment shrinkToFit="0" vertical="center" wrapText="0"/>
    </xf>
    <xf borderId="0" fillId="0" fontId="2" numFmtId="3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16" numFmtId="0" xfId="0" applyAlignment="1" applyFont="1">
      <alignment readingOrder="0" shrinkToFit="0" vertical="center" wrapText="0"/>
    </xf>
    <xf borderId="0" fillId="0" fontId="4" numFmtId="3" xfId="0" applyAlignment="1" applyFont="1" applyNumberFormat="1">
      <alignment shrinkToFit="0" vertical="bottom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bottom" wrapText="1"/>
    </xf>
    <xf borderId="0" fillId="0" fontId="17" numFmtId="0" xfId="0" applyAlignment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1"/>
    </xf>
    <xf borderId="4" fillId="2" fontId="5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5" numFmtId="0" xfId="0" applyAlignment="1" applyFont="1">
      <alignment shrinkToFit="0" vertical="center" wrapText="0"/>
    </xf>
    <xf borderId="0" fillId="2" fontId="19" numFmtId="0" xfId="0" applyAlignment="1" applyFont="1">
      <alignment horizontal="center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2" fontId="20" numFmtId="0" xfId="0" applyAlignment="1" applyFont="1">
      <alignment vertical="bottom"/>
    </xf>
    <xf borderId="0" fillId="2" fontId="20" numFmtId="0" xfId="0" applyAlignment="1" applyFont="1">
      <alignment horizontal="right" vertical="bottom"/>
    </xf>
    <xf borderId="0" fillId="2" fontId="20" numFmtId="164" xfId="0" applyAlignment="1" applyFont="1" applyNumberFormat="1">
      <alignment horizontal="right" vertical="bottom"/>
    </xf>
    <xf borderId="0" fillId="2" fontId="4" numFmtId="0" xfId="0" applyAlignment="1" applyFont="1">
      <alignment vertical="bottom"/>
    </xf>
    <xf borderId="0" fillId="2" fontId="19" numFmtId="0" xfId="0" applyAlignment="1" applyFont="1">
      <alignment vertical="bottom"/>
    </xf>
    <xf borderId="0" fillId="2" fontId="19" numFmtId="164" xfId="0" applyAlignment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0" fillId="7" fontId="19" numFmtId="0" xfId="0" applyAlignment="1" applyFill="1" applyFont="1">
      <alignment horizontal="center" vertical="bottom"/>
    </xf>
    <xf borderId="0" fillId="0" fontId="19" numFmtId="0" xfId="0" applyAlignment="1" applyFont="1">
      <alignment horizontal="center" vertical="bottom"/>
    </xf>
    <xf borderId="0" fillId="0" fontId="19" numFmtId="0" xfId="0" applyAlignment="1" applyFont="1">
      <alignment horizontal="right" vertical="bottom"/>
    </xf>
    <xf borderId="0" fillId="0" fontId="20" numFmtId="0" xfId="0" applyAlignment="1" applyFont="1">
      <alignment horizontal="right" vertical="bottom"/>
    </xf>
    <xf borderId="0" fillId="0" fontId="20" numFmtId="0" xfId="0" applyAlignment="1" applyFont="1">
      <alignment vertical="bottom"/>
    </xf>
    <xf borderId="0" fillId="0" fontId="20" numFmtId="164" xfId="0" applyAlignment="1" applyFont="1" applyNumberFormat="1">
      <alignment horizontal="right" vertical="bottom"/>
    </xf>
    <xf borderId="0" fillId="0" fontId="19" numFmtId="0" xfId="0" applyAlignment="1" applyFont="1">
      <alignment vertical="bottom"/>
    </xf>
    <xf borderId="0" fillId="0" fontId="19" numFmtId="164" xfId="0" applyAlignment="1" applyFont="1" applyNumberFormat="1">
      <alignment horizontal="right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1">
    <tableStyle count="4" pivot="0" name="CORE COS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857250</xdr:colOff>
      <xdr:row>8</xdr:row>
      <xdr:rowOff>152400</xdr:rowOff>
    </xdr:from>
    <xdr:ext cx="1838325" cy="454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180" displayName="Table1" name="Table1" id="1">
  <autoFilter ref="$A$1:$U$180"/>
  <tableColumns count="21">
    <tableColumn name="EVENTO" id="1"/>
    <tableColumn name="AREA/ZONA" id="2"/>
    <tableColumn name="CENTRO DE COSTO" id="3"/>
    <tableColumn name="ITEM" id="4"/>
    <tableColumn name="DESCRIPCIÓN" id="5"/>
    <tableColumn name="NOTAS/OBSERVACIONES" id="6"/>
    <tableColumn name="IN-KIND?" id="7"/>
    <tableColumn name="PRODUCTION AGENCY FEE?" id="8"/>
    <tableColumn name="QTY" id="9"/>
    <tableColumn name="UoM" id="10"/>
    <tableColumn name="¿CONTRATACION POR DIAS?" id="11"/>
    <tableColumn name="QTY DIAS" id="12"/>
    <tableColumn name="PRECIO UNITARIO" id="13"/>
    <tableColumn name="SUBTOTAL" id="14"/>
    <tableColumn name="¿APLICA FEE DE PRODUCCION?" id="15"/>
    <tableColumn name="FEE" id="16"/>
    <tableColumn name="SUBTOTAL CON FEE" id="17"/>
    <tableColumn name="IVA" id="18"/>
    <tableColumn name="TOTAL" id="19"/>
    <tableColumn name="COTIZACION" id="20"/>
    <tableColumn name="DOCUMENTO DE DETALLE" id="21"/>
  </tableColumns>
  <tableStyleInfo name="CORE COS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1uaQZRiN9eGz3Z3TmemwAl871VgmR8vx/view?usp=drive_link" TargetMode="External"/><Relationship Id="rId84" Type="http://schemas.openxmlformats.org/officeDocument/2006/relationships/hyperlink" Target="https://drive.google.com/file/d/1f1aUDcRld-mcPW62HfdTf4DaxocB7VK3/view?usp=drive_link" TargetMode="External"/><Relationship Id="rId83" Type="http://schemas.openxmlformats.org/officeDocument/2006/relationships/hyperlink" Target="https://drive.google.com/drive/folders/1sgi9vNZHe5ucyLvVQM9qN9ZIoD0Qug2t?usp=sharing" TargetMode="External"/><Relationship Id="rId42" Type="http://schemas.openxmlformats.org/officeDocument/2006/relationships/hyperlink" Target="https://drive.google.com/file/d/1fYAYJmKXo-D3iKCs8AGy4BCkw5-WNY_w/view?usp=drive_link" TargetMode="External"/><Relationship Id="rId86" Type="http://schemas.openxmlformats.org/officeDocument/2006/relationships/drawing" Target="../drawings/drawing1.xml"/><Relationship Id="rId41" Type="http://schemas.openxmlformats.org/officeDocument/2006/relationships/hyperlink" Target="https://drive.google.com/file/d/11uaQZRiN9eGz3Z3TmemwAl871VgmR8vx/view?usp=drive_link" TargetMode="External"/><Relationship Id="rId85" Type="http://schemas.openxmlformats.org/officeDocument/2006/relationships/hyperlink" Target="https://drive.google.com/file/d/1f1aUDcRld-mcPW62HfdTf4DaxocB7VK3/view?usp=drive_link" TargetMode="External"/><Relationship Id="rId44" Type="http://schemas.openxmlformats.org/officeDocument/2006/relationships/hyperlink" Target="https://drive.google.com/file/d/11V2dYL4PI994D7pIeT4EvNNWipRDYFT-/view?usp=drive_link" TargetMode="External"/><Relationship Id="rId88" Type="http://schemas.openxmlformats.org/officeDocument/2006/relationships/table" Target="../tables/table1.xml"/><Relationship Id="rId43" Type="http://schemas.openxmlformats.org/officeDocument/2006/relationships/hyperlink" Target="https://drive.google.com/file/d/1v2gQlCAxPbk6MjbM-SJIYv5Ki5zhjhRH/view?usp=drive_link" TargetMode="External"/><Relationship Id="rId46" Type="http://schemas.openxmlformats.org/officeDocument/2006/relationships/hyperlink" Target="https://drive.google.com/file/d/1TB1cjYWRBrdk_frKAkq-bBvzCTXXVk93/view?usp=drive_link" TargetMode="External"/><Relationship Id="rId45" Type="http://schemas.openxmlformats.org/officeDocument/2006/relationships/hyperlink" Target="https://drive.google.com/file/d/11V2dYL4PI994D7pIeT4EvNNWipRDYFT-/view?usp=drive_link" TargetMode="External"/><Relationship Id="rId80" Type="http://schemas.openxmlformats.org/officeDocument/2006/relationships/hyperlink" Target="https://drive.google.com/drive/folders/1sgi9vNZHe5ucyLvVQM9qN9ZIoD0Qug2t?usp=sharing" TargetMode="External"/><Relationship Id="rId82" Type="http://schemas.openxmlformats.org/officeDocument/2006/relationships/hyperlink" Target="https://drive.google.com/file/d/1_ZQNqs5nm0CAsq2SF_C31arKusGKJfwb/view?usp=sharing" TargetMode="External"/><Relationship Id="rId81" Type="http://schemas.openxmlformats.org/officeDocument/2006/relationships/hyperlink" Target="https://drive.google.com/file/d/1l6btI2t4UHtCc0mFDlSRr6O0SUeeXZvg/view?usp=sharing" TargetMode="External"/><Relationship Id="rId1" Type="http://schemas.openxmlformats.org/officeDocument/2006/relationships/hyperlink" Target="https://drive.google.com/file/d/1v2gQlCAxPbk6MjbM-SJIYv5Ki5zhjhRH/view?usp=drive_link" TargetMode="External"/><Relationship Id="rId2" Type="http://schemas.openxmlformats.org/officeDocument/2006/relationships/hyperlink" Target="https://drive.google.com/file/d/1naOQex6vwh7_3M5kqpQdA6KqNa_5QJeJ/view?usp=sharing" TargetMode="External"/><Relationship Id="rId3" Type="http://schemas.openxmlformats.org/officeDocument/2006/relationships/hyperlink" Target="https://drive.google.com/file/d/1qEZF5SMpdzAlxZ6Ounf4x2wmZWhtWROd/view?usp=drive_link" TargetMode="External"/><Relationship Id="rId4" Type="http://schemas.openxmlformats.org/officeDocument/2006/relationships/hyperlink" Target="https://drive.google.com/file/d/1qEZF5SMpdzAlxZ6Ounf4x2wmZWhtWROd/view?usp=drive_link" TargetMode="External"/><Relationship Id="rId9" Type="http://schemas.openxmlformats.org/officeDocument/2006/relationships/hyperlink" Target="https://drive.google.com/file/d/1v2gQlCAxPbk6MjbM-SJIYv5Ki5zhjhRH/view?usp=drive_link" TargetMode="External"/><Relationship Id="rId48" Type="http://schemas.openxmlformats.org/officeDocument/2006/relationships/hyperlink" Target="https://drive.google.com/file/d/1v2gQlCAxPbk6MjbM-SJIYv5Ki5zhjhRH/view?usp=drive_link" TargetMode="External"/><Relationship Id="rId47" Type="http://schemas.openxmlformats.org/officeDocument/2006/relationships/hyperlink" Target="https://drive.google.com/file/d/1TB1cjYWRBrdk_frKAkq-bBvzCTXXVk93/view?usp=drive_link" TargetMode="External"/><Relationship Id="rId49" Type="http://schemas.openxmlformats.org/officeDocument/2006/relationships/hyperlink" Target="https://drive.google.com/file/d/1v2gQlCAxPbk6MjbM-SJIYv5Ki5zhjhRH/view?usp=drive_link" TargetMode="External"/><Relationship Id="rId5" Type="http://schemas.openxmlformats.org/officeDocument/2006/relationships/hyperlink" Target="https://drive.google.com/file/d/1v2gQlCAxPbk6MjbM-SJIYv5Ki5zhjhRH/view?usp=drive_link" TargetMode="External"/><Relationship Id="rId6" Type="http://schemas.openxmlformats.org/officeDocument/2006/relationships/hyperlink" Target="https://drive.google.com/file/d/1v2gQlCAxPbk6MjbM-SJIYv5Ki5zhjhRH/view?usp=drive_link" TargetMode="External"/><Relationship Id="rId7" Type="http://schemas.openxmlformats.org/officeDocument/2006/relationships/hyperlink" Target="https://drive.google.com/file/d/1qEZF5SMpdzAlxZ6Ounf4x2wmZWhtWROd/view?usp=drive_link" TargetMode="External"/><Relationship Id="rId8" Type="http://schemas.openxmlformats.org/officeDocument/2006/relationships/hyperlink" Target="https://drive.google.com/file/d/1qEZF5SMpdzAlxZ6Ounf4x2wmZWhtWROd/view?usp=drive_link" TargetMode="External"/><Relationship Id="rId73" Type="http://schemas.openxmlformats.org/officeDocument/2006/relationships/hyperlink" Target="https://drive.google.com/file/d/1mw_3fyW1rHC0RUgnUPPnvzgi98OOeFOY/view?usp=sharing" TargetMode="External"/><Relationship Id="rId72" Type="http://schemas.openxmlformats.org/officeDocument/2006/relationships/hyperlink" Target="https://drive.google.com/file/d/1mw_3fyW1rHC0RUgnUPPnvzgi98OOeFOY/view?usp=sharing" TargetMode="External"/><Relationship Id="rId31" Type="http://schemas.openxmlformats.org/officeDocument/2006/relationships/hyperlink" Target="https://drive.google.com/file/d/11uaQZRiN9eGz3Z3TmemwAl871VgmR8vx/view?usp=drive_link" TargetMode="External"/><Relationship Id="rId75" Type="http://schemas.openxmlformats.org/officeDocument/2006/relationships/hyperlink" Target="https://drive.google.com/file/d/1qEZF5SMpdzAlxZ6Ounf4x2wmZWhtWROd/view?usp=drive_link" TargetMode="External"/><Relationship Id="rId30" Type="http://schemas.openxmlformats.org/officeDocument/2006/relationships/hyperlink" Target="https://drive.google.com/file/d/1naOQex6vwh7_3M5kqpQdA6KqNa_5QJeJ/view?usp=sharing" TargetMode="External"/><Relationship Id="rId74" Type="http://schemas.openxmlformats.org/officeDocument/2006/relationships/hyperlink" Target="https://drive.google.com/file/d/1mw_3fyW1rHC0RUgnUPPnvzgi98OOeFOY/view?usp=sharing" TargetMode="External"/><Relationship Id="rId33" Type="http://schemas.openxmlformats.org/officeDocument/2006/relationships/hyperlink" Target="https://drive.google.com/file/d/11uaQZRiN9eGz3Z3TmemwAl871VgmR8vx/view?usp=drive_link" TargetMode="External"/><Relationship Id="rId77" Type="http://schemas.openxmlformats.org/officeDocument/2006/relationships/hyperlink" Target="https://drive.google.com/file/d/10zIunqBFigGIolQqNwxCNs1lrfiXmuy5/view?usp=drive_link" TargetMode="External"/><Relationship Id="rId32" Type="http://schemas.openxmlformats.org/officeDocument/2006/relationships/hyperlink" Target="https://drive.google.com/file/d/11uaQZRiN9eGz3Z3TmemwAl871VgmR8vx/view?usp=drive_link" TargetMode="External"/><Relationship Id="rId76" Type="http://schemas.openxmlformats.org/officeDocument/2006/relationships/hyperlink" Target="https://docs.google.com/document/d/10qXivqSEV8cvEK5l5ptoY1Sja2o7KZW5/edit?usp=drive_link&amp;ouid=112002981124344896500&amp;rtpof=true&amp;sd=true" TargetMode="External"/><Relationship Id="rId35" Type="http://schemas.openxmlformats.org/officeDocument/2006/relationships/hyperlink" Target="https://drive.google.com/file/d/11uaQZRiN9eGz3Z3TmemwAl871VgmR8vx/view?usp=drive_link" TargetMode="External"/><Relationship Id="rId79" Type="http://schemas.openxmlformats.org/officeDocument/2006/relationships/hyperlink" Target="https://drive.google.com/file/d/1f1aUDcRld-mcPW62HfdTf4DaxocB7VK3/view?usp=drive_link" TargetMode="External"/><Relationship Id="rId34" Type="http://schemas.openxmlformats.org/officeDocument/2006/relationships/hyperlink" Target="https://drive.google.com/file/d/11uaQZRiN9eGz3Z3TmemwAl871VgmR8vx/view?usp=drive_link" TargetMode="External"/><Relationship Id="rId78" Type="http://schemas.openxmlformats.org/officeDocument/2006/relationships/hyperlink" Target="https://www.cepa.gob.sv/servicios/servicio-vip-pasajeros-del-aies/" TargetMode="External"/><Relationship Id="rId71" Type="http://schemas.openxmlformats.org/officeDocument/2006/relationships/hyperlink" Target="https://drive.google.com/file/d/1v2gQlCAxPbk6MjbM-SJIYv5Ki5zhjhRH/view?usp=drive_link" TargetMode="External"/><Relationship Id="rId70" Type="http://schemas.openxmlformats.org/officeDocument/2006/relationships/hyperlink" Target="https://drive.google.com/file/d/1v2gQlCAxPbk6MjbM-SJIYv5Ki5zhjhRH/view?usp=drive_link" TargetMode="External"/><Relationship Id="rId37" Type="http://schemas.openxmlformats.org/officeDocument/2006/relationships/hyperlink" Target="https://drive.google.com/file/d/11uaQZRiN9eGz3Z3TmemwAl871VgmR8vx/view?usp=drive_link" TargetMode="External"/><Relationship Id="rId36" Type="http://schemas.openxmlformats.org/officeDocument/2006/relationships/hyperlink" Target="https://drive.google.com/file/d/11uaQZRiN9eGz3Z3TmemwAl871VgmR8vx/view?usp=drive_link" TargetMode="External"/><Relationship Id="rId39" Type="http://schemas.openxmlformats.org/officeDocument/2006/relationships/hyperlink" Target="https://drive.google.com/file/d/11uaQZRiN9eGz3Z3TmemwAl871VgmR8vx/view?usp=drive_link" TargetMode="External"/><Relationship Id="rId38" Type="http://schemas.openxmlformats.org/officeDocument/2006/relationships/hyperlink" Target="https://drive.google.com/file/d/11uaQZRiN9eGz3Z3TmemwAl871VgmR8vx/view?usp=drive_link" TargetMode="External"/><Relationship Id="rId62" Type="http://schemas.openxmlformats.org/officeDocument/2006/relationships/hyperlink" Target="https://drive.google.com/file/d/1qEZF5SMpdzAlxZ6Ounf4x2wmZWhtWROd/view?usp=drive_link" TargetMode="External"/><Relationship Id="rId61" Type="http://schemas.openxmlformats.org/officeDocument/2006/relationships/hyperlink" Target="https://drive.google.com/file/d/1v2gQlCAxPbk6MjbM-SJIYv5Ki5zhjhRH/view?usp=drive_link" TargetMode="External"/><Relationship Id="rId20" Type="http://schemas.openxmlformats.org/officeDocument/2006/relationships/hyperlink" Target="https://drive.google.com/file/d/11V2dYL4PI994D7pIeT4EvNNWipRDYFT-/view?usp=drive_link" TargetMode="External"/><Relationship Id="rId64" Type="http://schemas.openxmlformats.org/officeDocument/2006/relationships/hyperlink" Target="https://drive.google.com/file/d/1TB1cjYWRBrdk_frKAkq-bBvzCTXXVk93/view?usp=drive_link" TargetMode="External"/><Relationship Id="rId63" Type="http://schemas.openxmlformats.org/officeDocument/2006/relationships/hyperlink" Target="https://www.pricesmart.com/es-sv/producto/members-selection-bolsas-para-la-basura-50-unidades-208-l-55-gal-732573/732573" TargetMode="External"/><Relationship Id="rId22" Type="http://schemas.openxmlformats.org/officeDocument/2006/relationships/hyperlink" Target="https://drive.google.com/file/d/1TB1cjYWRBrdk_frKAkq-bBvzCTXXVk93/view?usp=drive_link" TargetMode="External"/><Relationship Id="rId66" Type="http://schemas.openxmlformats.org/officeDocument/2006/relationships/hyperlink" Target="https://drive.google.com/file/d/1HXloUVaR7oxKdRdIDueXn5oYyctqo8p5/view?usp=drive_link" TargetMode="External"/><Relationship Id="rId21" Type="http://schemas.openxmlformats.org/officeDocument/2006/relationships/hyperlink" Target="https://drive.google.com/file/d/1zOOgrJxnEgT4ry2aV1N5elO58UNY2yO2/view?usp=drive_link" TargetMode="External"/><Relationship Id="rId65" Type="http://schemas.openxmlformats.org/officeDocument/2006/relationships/hyperlink" Target="https://drive.google.com/file/d/1naOQex6vwh7_3M5kqpQdA6KqNa_5QJeJ/view?usp=sharing" TargetMode="External"/><Relationship Id="rId24" Type="http://schemas.openxmlformats.org/officeDocument/2006/relationships/hyperlink" Target="https://drive.google.com/file/d/1mw_3fyW1rHC0RUgnUPPnvzgi98OOeFOY/view?usp=sharing" TargetMode="External"/><Relationship Id="rId68" Type="http://schemas.openxmlformats.org/officeDocument/2006/relationships/hyperlink" Target="https://drive.google.com/file/d/1mw_3fyW1rHC0RUgnUPPnvzgi98OOeFOY/view?usp=sharing" TargetMode="External"/><Relationship Id="rId23" Type="http://schemas.openxmlformats.org/officeDocument/2006/relationships/hyperlink" Target="https://drive.google.com/file/d/1TB1cjYWRBrdk_frKAkq-bBvzCTXXVk93/view?usp=drive_link" TargetMode="External"/><Relationship Id="rId67" Type="http://schemas.openxmlformats.org/officeDocument/2006/relationships/hyperlink" Target="https://drive.google.com/file/d/1mw_3fyW1rHC0RUgnUPPnvzgi98OOeFOY/view?usp=sharing" TargetMode="External"/><Relationship Id="rId60" Type="http://schemas.openxmlformats.org/officeDocument/2006/relationships/hyperlink" Target="https://drive.google.com/file/d/1TB1cjYWRBrdk_frKAkq-bBvzCTXXVk93/view?usp=drive_link" TargetMode="External"/><Relationship Id="rId26" Type="http://schemas.openxmlformats.org/officeDocument/2006/relationships/hyperlink" Target="https://drive.google.com/file/d/11V2dYL4PI994D7pIeT4EvNNWipRDYFT-/view?usp=drive_link" TargetMode="External"/><Relationship Id="rId25" Type="http://schemas.openxmlformats.org/officeDocument/2006/relationships/hyperlink" Target="https://drive.google.com/file/d/1v2gQlCAxPbk6MjbM-SJIYv5Ki5zhjhRH/view?usp=drive_link" TargetMode="External"/><Relationship Id="rId69" Type="http://schemas.openxmlformats.org/officeDocument/2006/relationships/hyperlink" Target="https://drive.google.com/file/d/1mw_3fyW1rHC0RUgnUPPnvzgi98OOeFOY/view?usp=sharing" TargetMode="External"/><Relationship Id="rId28" Type="http://schemas.openxmlformats.org/officeDocument/2006/relationships/hyperlink" Target="https://drive.google.com/file/d/11V2dYL4PI994D7pIeT4EvNNWipRDYFT-/view?usp=drive_link" TargetMode="External"/><Relationship Id="rId27" Type="http://schemas.openxmlformats.org/officeDocument/2006/relationships/hyperlink" Target="https://drive.google.com/file/d/11V2dYL4PI994D7pIeT4EvNNWipRDYFT-/view?usp=drive_link" TargetMode="External"/><Relationship Id="rId29" Type="http://schemas.openxmlformats.org/officeDocument/2006/relationships/hyperlink" Target="https://drive.google.com/file/d/11V2dYL4PI994D7pIeT4EvNNWipRDYFT-/view?usp=drive_link" TargetMode="External"/><Relationship Id="rId51" Type="http://schemas.openxmlformats.org/officeDocument/2006/relationships/hyperlink" Target="https://drive.google.com/file/d/11V2dYL4PI994D7pIeT4EvNNWipRDYFT-/view?usp=drive_link" TargetMode="External"/><Relationship Id="rId50" Type="http://schemas.openxmlformats.org/officeDocument/2006/relationships/hyperlink" Target="https://drive.google.com/file/d/1v2gQlCAxPbk6MjbM-SJIYv5Ki5zhjhRH/view?usp=drive_link" TargetMode="External"/><Relationship Id="rId53" Type="http://schemas.openxmlformats.org/officeDocument/2006/relationships/hyperlink" Target="https://drive.google.com/file/d/1naOQex6vwh7_3M5kqpQdA6KqNa_5QJeJ/view?usp=sharing" TargetMode="External"/><Relationship Id="rId52" Type="http://schemas.openxmlformats.org/officeDocument/2006/relationships/hyperlink" Target="https://drive.google.com/file/d/1naOQex6vwh7_3M5kqpQdA6KqNa_5QJeJ/view?usp=sharing" TargetMode="External"/><Relationship Id="rId11" Type="http://schemas.openxmlformats.org/officeDocument/2006/relationships/hyperlink" Target="https://drive.google.com/file/d/1mw_3fyW1rHC0RUgnUPPnvzgi98OOeFOY/view?usp=sharing" TargetMode="External"/><Relationship Id="rId55" Type="http://schemas.openxmlformats.org/officeDocument/2006/relationships/hyperlink" Target="https://drive.google.com/file/d/1sVDQeYsEq8t-amYUo2h7Id29fsrHKgmP/view?usp=drive_link" TargetMode="External"/><Relationship Id="rId10" Type="http://schemas.openxmlformats.org/officeDocument/2006/relationships/hyperlink" Target="https://drive.google.com/file/d/1v2gQlCAxPbk6MjbM-SJIYv5Ki5zhjhRH/view?usp=drive_link" TargetMode="External"/><Relationship Id="rId54" Type="http://schemas.openxmlformats.org/officeDocument/2006/relationships/hyperlink" Target="https://drive.google.com/file/d/1v2gQlCAxPbk6MjbM-SJIYv5Ki5zhjhRH/view?usp=drive_link" TargetMode="External"/><Relationship Id="rId13" Type="http://schemas.openxmlformats.org/officeDocument/2006/relationships/hyperlink" Target="https://drive.google.com/file/d/1v2gQlCAxPbk6MjbM-SJIYv5Ki5zhjhRH/view?usp=drive_link" TargetMode="External"/><Relationship Id="rId57" Type="http://schemas.openxmlformats.org/officeDocument/2006/relationships/hyperlink" Target="https://drive.google.com/file/d/1HXloUVaR7oxKdRdIDueXn5oYyctqo8p5/view?usp=drive_link" TargetMode="External"/><Relationship Id="rId12" Type="http://schemas.openxmlformats.org/officeDocument/2006/relationships/hyperlink" Target="https://drive.google.com/file/d/1IfkHgp31LiPIpc_ICz59wYRA9ak0N2j0/view?usp=drive_link" TargetMode="External"/><Relationship Id="rId56" Type="http://schemas.openxmlformats.org/officeDocument/2006/relationships/hyperlink" Target="https://drive.google.com/file/d/1Vb-KO2lranR5oCYtMsJiwun4GV-8zik5/view?usp=drive_link" TargetMode="External"/><Relationship Id="rId15" Type="http://schemas.openxmlformats.org/officeDocument/2006/relationships/hyperlink" Target="https://drive.google.com/file/d/1v2gQlCAxPbk6MjbM-SJIYv5Ki5zhjhRH/view?usp=drive_link" TargetMode="External"/><Relationship Id="rId59" Type="http://schemas.openxmlformats.org/officeDocument/2006/relationships/hyperlink" Target="https://drive.google.com/file/d/1TB1cjYWRBrdk_frKAkq-bBvzCTXXVk93/view?usp=drive_link" TargetMode="External"/><Relationship Id="rId14" Type="http://schemas.openxmlformats.org/officeDocument/2006/relationships/hyperlink" Target="https://drive.google.com/file/d/1v2gQlCAxPbk6MjbM-SJIYv5Ki5zhjhRH/view?usp=drive_link" TargetMode="External"/><Relationship Id="rId58" Type="http://schemas.openxmlformats.org/officeDocument/2006/relationships/hyperlink" Target="https://drive.google.com/file/d/1naOQex6vwh7_3M5kqpQdA6KqNa_5QJeJ/view?usp=sharing" TargetMode="External"/><Relationship Id="rId17" Type="http://schemas.openxmlformats.org/officeDocument/2006/relationships/hyperlink" Target="https://drive.google.com/file/d/1v2gQlCAxPbk6MjbM-SJIYv5Ki5zhjhRH/view?usp=drive_link" TargetMode="External"/><Relationship Id="rId16" Type="http://schemas.openxmlformats.org/officeDocument/2006/relationships/hyperlink" Target="https://drive.google.com/file/d/1naOQex6vwh7_3M5kqpQdA6KqNa_5QJeJ/view?usp=sharing" TargetMode="External"/><Relationship Id="rId19" Type="http://schemas.openxmlformats.org/officeDocument/2006/relationships/hyperlink" Target="https://drive.google.com/file/d/11V2dYL4PI994D7pIeT4EvNNWipRDYFT-/view?usp=drive_link" TargetMode="External"/><Relationship Id="rId18" Type="http://schemas.openxmlformats.org/officeDocument/2006/relationships/hyperlink" Target="https://drive.google.com/file/d/11V2dYL4PI994D7pIeT4EvNNWipRDYFT-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18.13"/>
    <col customWidth="1" min="3" max="3" width="23.0"/>
    <col customWidth="1" min="4" max="4" width="57.5"/>
    <col customWidth="1" min="5" max="5" width="16.13"/>
    <col customWidth="1" min="6" max="6" width="26.63"/>
    <col customWidth="1" min="7" max="7" width="15.75"/>
    <col customWidth="1" min="8" max="8" width="32.13"/>
    <col customWidth="1" min="9" max="9" width="12.0"/>
    <col customWidth="1" min="10" max="10" width="9.75"/>
    <col customWidth="1" min="11" max="11" width="30.75"/>
    <col customWidth="1" min="12" max="12" width="16.13"/>
    <col customWidth="1" min="13" max="13" width="22.5"/>
    <col customWidth="1" min="14" max="14" width="17.0"/>
    <col customWidth="1" min="15" max="15" width="32.75"/>
    <col customWidth="1" min="16" max="16" width="11.5"/>
    <col customWidth="1" min="17" max="17" width="24.0"/>
    <col customWidth="1" min="18" max="18" width="11.38"/>
    <col customWidth="1" min="19" max="19" width="13.88"/>
    <col customWidth="1" min="20" max="20" width="15.25"/>
    <col customWidth="1" min="21" max="21" width="25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22.5" customHeight="1">
      <c r="A2" s="4" t="s">
        <v>21</v>
      </c>
      <c r="B2" s="5" t="s">
        <v>22</v>
      </c>
      <c r="C2" s="5" t="s">
        <v>23</v>
      </c>
      <c r="D2" s="6" t="s">
        <v>24</v>
      </c>
      <c r="E2" s="7" t="s">
        <v>25</v>
      </c>
      <c r="F2" s="7" t="s">
        <v>26</v>
      </c>
      <c r="G2" s="8" t="b">
        <v>1</v>
      </c>
      <c r="H2" s="8" t="b">
        <v>0</v>
      </c>
      <c r="I2" s="9">
        <v>6.0</v>
      </c>
      <c r="J2" s="10" t="s">
        <v>27</v>
      </c>
      <c r="K2" s="11" t="s">
        <v>28</v>
      </c>
      <c r="L2" s="9">
        <v>2.0</v>
      </c>
      <c r="M2" s="12">
        <v>0.0</v>
      </c>
      <c r="N2" s="13">
        <f t="shared" ref="N2:N180" si="1">I2*M2*L2</f>
        <v>0</v>
      </c>
      <c r="O2" s="14" t="s">
        <v>29</v>
      </c>
      <c r="P2" s="13">
        <f t="array" ref="P2:P180">IF(O2:O180="SI", N2:N180*20%, 0)</f>
        <v>0</v>
      </c>
      <c r="Q2" s="13">
        <f t="shared" ref="Q2:Q180" si="2">N2+P2</f>
        <v>0</v>
      </c>
      <c r="R2" s="13">
        <f t="shared" ref="R2:R176" si="3">Q2*0.13</f>
        <v>0</v>
      </c>
      <c r="S2" s="13">
        <f t="shared" ref="S2:S180" si="4">R2+Q2</f>
        <v>0</v>
      </c>
      <c r="T2" s="10" t="s">
        <v>30</v>
      </c>
      <c r="U2" s="6"/>
    </row>
    <row r="3" ht="22.5" customHeight="1">
      <c r="A3" s="4" t="s">
        <v>21</v>
      </c>
      <c r="B3" s="5" t="s">
        <v>22</v>
      </c>
      <c r="C3" s="5" t="s">
        <v>23</v>
      </c>
      <c r="D3" s="6" t="s">
        <v>31</v>
      </c>
      <c r="F3" s="7" t="s">
        <v>32</v>
      </c>
      <c r="G3" s="8" t="b">
        <v>0</v>
      </c>
      <c r="H3" s="8" t="b">
        <v>1</v>
      </c>
      <c r="I3" s="9">
        <v>2.0</v>
      </c>
      <c r="J3" s="10" t="s">
        <v>27</v>
      </c>
      <c r="K3" s="11" t="s">
        <v>28</v>
      </c>
      <c r="L3" s="9">
        <v>2.0</v>
      </c>
      <c r="M3" s="12">
        <v>111.11</v>
      </c>
      <c r="N3" s="13">
        <f t="shared" si="1"/>
        <v>444.44</v>
      </c>
      <c r="O3" s="15" t="s">
        <v>28</v>
      </c>
      <c r="P3" s="13">
        <v>88.888</v>
      </c>
      <c r="Q3" s="13">
        <f t="shared" si="2"/>
        <v>533.328</v>
      </c>
      <c r="R3" s="13">
        <f t="shared" si="3"/>
        <v>69.33264</v>
      </c>
      <c r="S3" s="13">
        <f t="shared" si="4"/>
        <v>602.66064</v>
      </c>
      <c r="U3" s="6"/>
    </row>
    <row r="4" ht="22.5" customHeight="1">
      <c r="A4" s="4" t="s">
        <v>21</v>
      </c>
      <c r="B4" s="5" t="s">
        <v>22</v>
      </c>
      <c r="C4" s="5" t="s">
        <v>33</v>
      </c>
      <c r="D4" s="6" t="s">
        <v>34</v>
      </c>
      <c r="F4" s="16"/>
      <c r="G4" s="8" t="b">
        <v>1</v>
      </c>
      <c r="H4" s="8" t="b">
        <v>0</v>
      </c>
      <c r="I4" s="9">
        <v>1.0</v>
      </c>
      <c r="J4" s="10" t="s">
        <v>27</v>
      </c>
      <c r="K4" s="11" t="s">
        <v>28</v>
      </c>
      <c r="L4" s="9">
        <v>2.0</v>
      </c>
      <c r="M4" s="12">
        <v>0.0</v>
      </c>
      <c r="N4" s="13">
        <f t="shared" si="1"/>
        <v>0</v>
      </c>
      <c r="O4" s="14" t="s">
        <v>29</v>
      </c>
      <c r="P4" s="13">
        <v>0.0</v>
      </c>
      <c r="Q4" s="13">
        <f t="shared" si="2"/>
        <v>0</v>
      </c>
      <c r="R4" s="13">
        <f t="shared" si="3"/>
        <v>0</v>
      </c>
      <c r="S4" s="13">
        <f t="shared" si="4"/>
        <v>0</v>
      </c>
      <c r="T4" s="10" t="s">
        <v>35</v>
      </c>
      <c r="U4" s="6"/>
    </row>
    <row r="5" ht="22.5" customHeight="1">
      <c r="A5" s="4" t="s">
        <v>21</v>
      </c>
      <c r="B5" s="5" t="s">
        <v>22</v>
      </c>
      <c r="C5" s="5" t="s">
        <v>33</v>
      </c>
      <c r="D5" s="6" t="s">
        <v>36</v>
      </c>
      <c r="F5" s="16"/>
      <c r="G5" s="8" t="b">
        <v>1</v>
      </c>
      <c r="H5" s="8" t="b">
        <v>0</v>
      </c>
      <c r="I5" s="9">
        <v>8.0</v>
      </c>
      <c r="J5" s="10" t="s">
        <v>27</v>
      </c>
      <c r="K5" s="11" t="s">
        <v>28</v>
      </c>
      <c r="L5" s="9">
        <v>2.0</v>
      </c>
      <c r="M5" s="12">
        <v>0.0</v>
      </c>
      <c r="N5" s="13">
        <f t="shared" si="1"/>
        <v>0</v>
      </c>
      <c r="O5" s="15" t="s">
        <v>29</v>
      </c>
      <c r="P5" s="13">
        <v>0.0</v>
      </c>
      <c r="Q5" s="13">
        <f t="shared" si="2"/>
        <v>0</v>
      </c>
      <c r="R5" s="13">
        <f t="shared" si="3"/>
        <v>0</v>
      </c>
      <c r="S5" s="13">
        <f t="shared" si="4"/>
        <v>0</v>
      </c>
      <c r="T5" s="10" t="s">
        <v>35</v>
      </c>
      <c r="U5" s="6"/>
    </row>
    <row r="6" ht="22.5" customHeight="1">
      <c r="A6" s="4" t="s">
        <v>21</v>
      </c>
      <c r="B6" s="5" t="s">
        <v>22</v>
      </c>
      <c r="C6" s="5" t="s">
        <v>37</v>
      </c>
      <c r="D6" s="6" t="s">
        <v>38</v>
      </c>
      <c r="E6" s="10" t="s">
        <v>39</v>
      </c>
      <c r="F6" s="7" t="s">
        <v>40</v>
      </c>
      <c r="G6" s="8" t="b">
        <v>0</v>
      </c>
      <c r="H6" s="8" t="b">
        <v>0</v>
      </c>
      <c r="I6" s="9">
        <v>4.0</v>
      </c>
      <c r="J6" s="10" t="s">
        <v>27</v>
      </c>
      <c r="K6" s="11" t="s">
        <v>29</v>
      </c>
      <c r="L6" s="9">
        <v>1.0</v>
      </c>
      <c r="M6" s="12">
        <v>65.0</v>
      </c>
      <c r="N6" s="13">
        <f t="shared" si="1"/>
        <v>260</v>
      </c>
      <c r="O6" s="14" t="s">
        <v>28</v>
      </c>
      <c r="P6" s="13">
        <v>52.0</v>
      </c>
      <c r="Q6" s="13">
        <f t="shared" si="2"/>
        <v>312</v>
      </c>
      <c r="R6" s="13">
        <f t="shared" si="3"/>
        <v>40.56</v>
      </c>
      <c r="S6" s="13">
        <f t="shared" si="4"/>
        <v>352.56</v>
      </c>
      <c r="T6" s="10" t="s">
        <v>41</v>
      </c>
      <c r="U6" s="6"/>
    </row>
    <row r="7" ht="22.5" customHeight="1">
      <c r="A7" s="4" t="s">
        <v>21</v>
      </c>
      <c r="B7" s="5" t="s">
        <v>42</v>
      </c>
      <c r="C7" s="5" t="s">
        <v>43</v>
      </c>
      <c r="D7" s="6" t="s">
        <v>44</v>
      </c>
      <c r="F7" s="16"/>
      <c r="G7" s="17" t="b">
        <v>0</v>
      </c>
      <c r="H7" s="17" t="b">
        <v>0</v>
      </c>
      <c r="I7" s="9">
        <v>2.0</v>
      </c>
      <c r="J7" s="18" t="s">
        <v>45</v>
      </c>
      <c r="K7" s="11" t="s">
        <v>29</v>
      </c>
      <c r="L7" s="9">
        <v>1.0</v>
      </c>
      <c r="M7" s="12">
        <v>420.0</v>
      </c>
      <c r="N7" s="13">
        <f t="shared" si="1"/>
        <v>840</v>
      </c>
      <c r="O7" s="15" t="s">
        <v>28</v>
      </c>
      <c r="P7" s="13">
        <v>168.0</v>
      </c>
      <c r="Q7" s="13">
        <f t="shared" si="2"/>
        <v>1008</v>
      </c>
      <c r="R7" s="13">
        <f t="shared" si="3"/>
        <v>131.04</v>
      </c>
      <c r="S7" s="13">
        <f t="shared" si="4"/>
        <v>1139.04</v>
      </c>
      <c r="T7" s="10" t="s">
        <v>41</v>
      </c>
      <c r="U7" s="6"/>
    </row>
    <row r="8" ht="22.5" customHeight="1">
      <c r="A8" s="4" t="s">
        <v>21</v>
      </c>
      <c r="B8" s="5" t="s">
        <v>42</v>
      </c>
      <c r="C8" s="5" t="s">
        <v>33</v>
      </c>
      <c r="D8" s="6" t="s">
        <v>46</v>
      </c>
      <c r="F8" s="16"/>
      <c r="G8" s="8" t="b">
        <v>1</v>
      </c>
      <c r="H8" s="8" t="b">
        <v>0</v>
      </c>
      <c r="I8" s="9">
        <v>2.0</v>
      </c>
      <c r="J8" s="18" t="s">
        <v>27</v>
      </c>
      <c r="K8" s="11" t="s">
        <v>28</v>
      </c>
      <c r="L8" s="9">
        <v>2.0</v>
      </c>
      <c r="M8" s="12">
        <v>0.0</v>
      </c>
      <c r="N8" s="13">
        <f t="shared" si="1"/>
        <v>0</v>
      </c>
      <c r="O8" s="14" t="s">
        <v>29</v>
      </c>
      <c r="P8" s="13">
        <v>0.0</v>
      </c>
      <c r="Q8" s="13">
        <f t="shared" si="2"/>
        <v>0</v>
      </c>
      <c r="R8" s="13">
        <f t="shared" si="3"/>
        <v>0</v>
      </c>
      <c r="S8" s="13">
        <f t="shared" si="4"/>
        <v>0</v>
      </c>
      <c r="T8" s="10" t="s">
        <v>35</v>
      </c>
      <c r="U8" s="6"/>
    </row>
    <row r="9" ht="22.5" customHeight="1">
      <c r="A9" s="4" t="s">
        <v>21</v>
      </c>
      <c r="B9" s="5" t="s">
        <v>47</v>
      </c>
      <c r="C9" s="5" t="s">
        <v>33</v>
      </c>
      <c r="D9" s="6" t="s">
        <v>48</v>
      </c>
      <c r="F9" s="16"/>
      <c r="G9" s="8" t="b">
        <v>1</v>
      </c>
      <c r="H9" s="8" t="b">
        <v>0</v>
      </c>
      <c r="I9" s="9">
        <v>2.0</v>
      </c>
      <c r="J9" s="18" t="s">
        <v>27</v>
      </c>
      <c r="K9" s="11" t="s">
        <v>28</v>
      </c>
      <c r="L9" s="9">
        <v>2.0</v>
      </c>
      <c r="M9" s="12">
        <v>0.0</v>
      </c>
      <c r="N9" s="13">
        <f t="shared" si="1"/>
        <v>0</v>
      </c>
      <c r="O9" s="15" t="s">
        <v>29</v>
      </c>
      <c r="P9" s="13">
        <v>0.0</v>
      </c>
      <c r="Q9" s="13">
        <f t="shared" si="2"/>
        <v>0</v>
      </c>
      <c r="R9" s="13">
        <f t="shared" si="3"/>
        <v>0</v>
      </c>
      <c r="S9" s="13">
        <f t="shared" si="4"/>
        <v>0</v>
      </c>
      <c r="T9" s="10" t="s">
        <v>35</v>
      </c>
      <c r="U9" s="6"/>
    </row>
    <row r="10" ht="22.5" customHeight="1">
      <c r="A10" s="4" t="s">
        <v>21</v>
      </c>
      <c r="B10" s="5" t="s">
        <v>47</v>
      </c>
      <c r="C10" s="5" t="s">
        <v>37</v>
      </c>
      <c r="D10" s="6" t="s">
        <v>49</v>
      </c>
      <c r="F10" s="7" t="s">
        <v>50</v>
      </c>
      <c r="G10" s="8" t="b">
        <v>0</v>
      </c>
      <c r="H10" s="8" t="b">
        <v>0</v>
      </c>
      <c r="I10" s="9">
        <v>2.0</v>
      </c>
      <c r="J10" s="18" t="s">
        <v>45</v>
      </c>
      <c r="K10" s="11" t="s">
        <v>29</v>
      </c>
      <c r="L10" s="9">
        <v>1.0</v>
      </c>
      <c r="M10" s="12">
        <v>1.45</v>
      </c>
      <c r="N10" s="13">
        <f t="shared" si="1"/>
        <v>2.9</v>
      </c>
      <c r="O10" s="14" t="s">
        <v>28</v>
      </c>
      <c r="P10" s="13">
        <v>0.58</v>
      </c>
      <c r="Q10" s="13">
        <f t="shared" si="2"/>
        <v>3.48</v>
      </c>
      <c r="R10" s="13">
        <f t="shared" si="3"/>
        <v>0.4524</v>
      </c>
      <c r="S10" s="13">
        <f t="shared" si="4"/>
        <v>3.9324</v>
      </c>
      <c r="T10" s="10" t="s">
        <v>41</v>
      </c>
      <c r="U10" s="19"/>
    </row>
    <row r="11" ht="22.5" customHeight="1">
      <c r="A11" s="4" t="s">
        <v>21</v>
      </c>
      <c r="B11" s="5" t="s">
        <v>47</v>
      </c>
      <c r="C11" s="5" t="s">
        <v>33</v>
      </c>
      <c r="D11" s="6" t="s">
        <v>51</v>
      </c>
      <c r="F11" s="16"/>
      <c r="G11" s="8" t="b">
        <v>1</v>
      </c>
      <c r="H11" s="8" t="b">
        <v>0</v>
      </c>
      <c r="I11" s="9">
        <v>2.0</v>
      </c>
      <c r="J11" s="18" t="s">
        <v>27</v>
      </c>
      <c r="K11" s="11" t="s">
        <v>28</v>
      </c>
      <c r="L11" s="9">
        <v>2.0</v>
      </c>
      <c r="M11" s="12">
        <v>0.0</v>
      </c>
      <c r="N11" s="13">
        <f t="shared" si="1"/>
        <v>0</v>
      </c>
      <c r="O11" s="15" t="s">
        <v>29</v>
      </c>
      <c r="P11" s="13">
        <v>0.0</v>
      </c>
      <c r="Q11" s="13">
        <f t="shared" si="2"/>
        <v>0</v>
      </c>
      <c r="R11" s="13">
        <f t="shared" si="3"/>
        <v>0</v>
      </c>
      <c r="S11" s="13">
        <f t="shared" si="4"/>
        <v>0</v>
      </c>
      <c r="T11" s="10" t="s">
        <v>35</v>
      </c>
      <c r="U11" s="6"/>
    </row>
    <row r="12" ht="22.5" customHeight="1">
      <c r="A12" s="4" t="s">
        <v>21</v>
      </c>
      <c r="B12" s="5" t="s">
        <v>47</v>
      </c>
      <c r="C12" s="5" t="s">
        <v>52</v>
      </c>
      <c r="D12" s="6" t="s">
        <v>53</v>
      </c>
      <c r="F12" s="7" t="s">
        <v>32</v>
      </c>
      <c r="G12" s="8" t="b">
        <v>0</v>
      </c>
      <c r="H12" s="8" t="b">
        <v>1</v>
      </c>
      <c r="I12" s="9">
        <v>6.0</v>
      </c>
      <c r="J12" s="18" t="s">
        <v>45</v>
      </c>
      <c r="K12" s="11" t="s">
        <v>28</v>
      </c>
      <c r="L12" s="9">
        <v>2.0</v>
      </c>
      <c r="M12" s="12">
        <v>8.0</v>
      </c>
      <c r="N12" s="13">
        <f t="shared" si="1"/>
        <v>96</v>
      </c>
      <c r="O12" s="14" t="s">
        <v>28</v>
      </c>
      <c r="P12" s="13">
        <v>19.200000000000003</v>
      </c>
      <c r="Q12" s="13">
        <f t="shared" si="2"/>
        <v>115.2</v>
      </c>
      <c r="R12" s="13">
        <f t="shared" si="3"/>
        <v>14.976</v>
      </c>
      <c r="S12" s="13">
        <f t="shared" si="4"/>
        <v>130.176</v>
      </c>
      <c r="T12" s="20" t="s">
        <v>54</v>
      </c>
      <c r="U12" s="19"/>
    </row>
    <row r="13" ht="22.5" customHeight="1">
      <c r="A13" s="4" t="s">
        <v>21</v>
      </c>
      <c r="B13" s="5" t="s">
        <v>47</v>
      </c>
      <c r="C13" s="5" t="s">
        <v>52</v>
      </c>
      <c r="D13" s="21" t="s">
        <v>55</v>
      </c>
      <c r="F13" s="10" t="s">
        <v>56</v>
      </c>
      <c r="G13" s="8" t="b">
        <v>1</v>
      </c>
      <c r="H13" s="8" t="b">
        <v>0</v>
      </c>
      <c r="I13" s="9">
        <v>1.0</v>
      </c>
      <c r="J13" s="22" t="s">
        <v>57</v>
      </c>
      <c r="K13" s="11" t="s">
        <v>28</v>
      </c>
      <c r="L13" s="9">
        <v>2.0</v>
      </c>
      <c r="M13" s="12">
        <v>0.0</v>
      </c>
      <c r="N13" s="13">
        <f t="shared" si="1"/>
        <v>0</v>
      </c>
      <c r="O13" s="15" t="s">
        <v>29</v>
      </c>
      <c r="P13" s="13">
        <v>0.0</v>
      </c>
      <c r="Q13" s="13">
        <f t="shared" si="2"/>
        <v>0</v>
      </c>
      <c r="R13" s="13">
        <f t="shared" si="3"/>
        <v>0</v>
      </c>
      <c r="S13" s="13">
        <f t="shared" si="4"/>
        <v>0</v>
      </c>
      <c r="T13" s="10" t="s">
        <v>58</v>
      </c>
      <c r="U13" s="6"/>
    </row>
    <row r="14" ht="22.5" customHeight="1">
      <c r="A14" s="4" t="s">
        <v>21</v>
      </c>
      <c r="B14" s="5" t="s">
        <v>47</v>
      </c>
      <c r="C14" s="5" t="s">
        <v>59</v>
      </c>
      <c r="D14" s="21" t="s">
        <v>60</v>
      </c>
      <c r="F14" s="7" t="s">
        <v>61</v>
      </c>
      <c r="G14" s="8" t="b">
        <v>0</v>
      </c>
      <c r="H14" s="8" t="b">
        <v>0</v>
      </c>
      <c r="I14" s="9">
        <v>1.0</v>
      </c>
      <c r="J14" s="18" t="s">
        <v>45</v>
      </c>
      <c r="K14" s="11" t="s">
        <v>28</v>
      </c>
      <c r="L14" s="9">
        <v>2.0</v>
      </c>
      <c r="M14" s="12">
        <v>3.0</v>
      </c>
      <c r="N14" s="13">
        <f t="shared" si="1"/>
        <v>6</v>
      </c>
      <c r="O14" s="23" t="s">
        <v>28</v>
      </c>
      <c r="P14" s="13">
        <v>1.2000000000000002</v>
      </c>
      <c r="Q14" s="13">
        <f t="shared" si="2"/>
        <v>7.2</v>
      </c>
      <c r="R14" s="13">
        <f t="shared" si="3"/>
        <v>0.936</v>
      </c>
      <c r="S14" s="13">
        <f t="shared" si="4"/>
        <v>8.136</v>
      </c>
      <c r="T14" s="20" t="s">
        <v>62</v>
      </c>
      <c r="U14" s="6"/>
    </row>
    <row r="15" ht="22.5" customHeight="1">
      <c r="A15" s="4" t="s">
        <v>21</v>
      </c>
      <c r="B15" s="5" t="s">
        <v>47</v>
      </c>
      <c r="C15" s="5" t="s">
        <v>37</v>
      </c>
      <c r="D15" s="6" t="s">
        <v>63</v>
      </c>
      <c r="F15" s="7" t="s">
        <v>50</v>
      </c>
      <c r="G15" s="8" t="b">
        <v>0</v>
      </c>
      <c r="H15" s="8" t="b">
        <v>0</v>
      </c>
      <c r="I15" s="9">
        <v>1.0</v>
      </c>
      <c r="J15" s="18" t="s">
        <v>45</v>
      </c>
      <c r="K15" s="11" t="s">
        <v>29</v>
      </c>
      <c r="L15" s="9">
        <v>1.0</v>
      </c>
      <c r="M15" s="12">
        <v>2.0</v>
      </c>
      <c r="N15" s="13">
        <f t="shared" si="1"/>
        <v>2</v>
      </c>
      <c r="O15" s="23" t="s">
        <v>28</v>
      </c>
      <c r="P15" s="13">
        <v>0.4</v>
      </c>
      <c r="Q15" s="13">
        <f t="shared" si="2"/>
        <v>2.4</v>
      </c>
      <c r="R15" s="13">
        <f t="shared" si="3"/>
        <v>0.312</v>
      </c>
      <c r="S15" s="13">
        <f t="shared" si="4"/>
        <v>2.712</v>
      </c>
      <c r="U15" s="19"/>
    </row>
    <row r="16" ht="22.5" customHeight="1">
      <c r="A16" s="4" t="s">
        <v>21</v>
      </c>
      <c r="B16" s="5" t="s">
        <v>47</v>
      </c>
      <c r="C16" s="5" t="s">
        <v>64</v>
      </c>
      <c r="D16" s="6" t="s">
        <v>65</v>
      </c>
      <c r="F16" s="16"/>
      <c r="G16" s="8" t="b">
        <v>0</v>
      </c>
      <c r="H16" s="8" t="b">
        <v>0</v>
      </c>
      <c r="I16" s="9">
        <v>2.0</v>
      </c>
      <c r="J16" s="18" t="s">
        <v>27</v>
      </c>
      <c r="K16" s="11" t="s">
        <v>28</v>
      </c>
      <c r="L16" s="9">
        <v>2.0</v>
      </c>
      <c r="M16" s="12">
        <v>30.0</v>
      </c>
      <c r="N16" s="13">
        <f t="shared" si="1"/>
        <v>120</v>
      </c>
      <c r="O16" s="14" t="s">
        <v>29</v>
      </c>
      <c r="P16" s="13">
        <v>0.0</v>
      </c>
      <c r="Q16" s="13">
        <f t="shared" si="2"/>
        <v>120</v>
      </c>
      <c r="R16" s="13">
        <f t="shared" si="3"/>
        <v>15.6</v>
      </c>
      <c r="S16" s="13">
        <f t="shared" si="4"/>
        <v>135.6</v>
      </c>
      <c r="T16" s="24" t="s">
        <v>66</v>
      </c>
      <c r="U16" s="6"/>
    </row>
    <row r="17" ht="22.5" customHeight="1">
      <c r="A17" s="4" t="s">
        <v>21</v>
      </c>
      <c r="B17" s="5" t="s">
        <v>47</v>
      </c>
      <c r="C17" s="5" t="s">
        <v>64</v>
      </c>
      <c r="D17" s="6" t="s">
        <v>67</v>
      </c>
      <c r="E17" s="10" t="s">
        <v>68</v>
      </c>
      <c r="F17" s="10" t="s">
        <v>69</v>
      </c>
      <c r="G17" s="8" t="b">
        <v>0</v>
      </c>
      <c r="H17" s="8" t="b">
        <v>0</v>
      </c>
      <c r="I17" s="9">
        <v>1.0</v>
      </c>
      <c r="J17" s="18" t="s">
        <v>27</v>
      </c>
      <c r="K17" s="11" t="s">
        <v>28</v>
      </c>
      <c r="L17" s="9">
        <v>2.0</v>
      </c>
      <c r="M17" s="12">
        <v>30.0</v>
      </c>
      <c r="N17" s="13">
        <f t="shared" si="1"/>
        <v>60</v>
      </c>
      <c r="O17" s="15" t="s">
        <v>29</v>
      </c>
      <c r="P17" s="13">
        <v>0.0</v>
      </c>
      <c r="Q17" s="13">
        <f t="shared" si="2"/>
        <v>60</v>
      </c>
      <c r="R17" s="13">
        <f t="shared" si="3"/>
        <v>7.8</v>
      </c>
      <c r="S17" s="13">
        <f t="shared" si="4"/>
        <v>67.8</v>
      </c>
      <c r="T17" s="24" t="s">
        <v>66</v>
      </c>
      <c r="U17" s="6"/>
    </row>
    <row r="18" ht="22.5" customHeight="1">
      <c r="A18" s="4" t="s">
        <v>21</v>
      </c>
      <c r="B18" s="5" t="s">
        <v>70</v>
      </c>
      <c r="C18" s="5" t="s">
        <v>33</v>
      </c>
      <c r="D18" s="6" t="s">
        <v>48</v>
      </c>
      <c r="F18" s="16"/>
      <c r="G18" s="8" t="b">
        <v>1</v>
      </c>
      <c r="H18" s="8" t="b">
        <v>0</v>
      </c>
      <c r="I18" s="9">
        <v>4.0</v>
      </c>
      <c r="J18" s="18" t="s">
        <v>27</v>
      </c>
      <c r="K18" s="11" t="s">
        <v>28</v>
      </c>
      <c r="L18" s="9">
        <v>2.0</v>
      </c>
      <c r="M18" s="12">
        <v>0.0</v>
      </c>
      <c r="N18" s="13">
        <f t="shared" si="1"/>
        <v>0</v>
      </c>
      <c r="O18" s="14" t="s">
        <v>29</v>
      </c>
      <c r="P18" s="13">
        <v>0.0</v>
      </c>
      <c r="Q18" s="13">
        <f t="shared" si="2"/>
        <v>0</v>
      </c>
      <c r="R18" s="13">
        <f t="shared" si="3"/>
        <v>0</v>
      </c>
      <c r="S18" s="13">
        <f t="shared" si="4"/>
        <v>0</v>
      </c>
      <c r="T18" s="10" t="s">
        <v>35</v>
      </c>
      <c r="U18" s="6"/>
    </row>
    <row r="19" ht="22.5" customHeight="1">
      <c r="A19" s="4" t="s">
        <v>21</v>
      </c>
      <c r="B19" s="5" t="s">
        <v>70</v>
      </c>
      <c r="C19" s="5" t="s">
        <v>33</v>
      </c>
      <c r="D19" s="6" t="s">
        <v>71</v>
      </c>
      <c r="F19" s="16"/>
      <c r="G19" s="8" t="b">
        <v>1</v>
      </c>
      <c r="H19" s="8" t="b">
        <v>0</v>
      </c>
      <c r="I19" s="9">
        <v>2.0</v>
      </c>
      <c r="J19" s="18" t="s">
        <v>27</v>
      </c>
      <c r="K19" s="11" t="s">
        <v>28</v>
      </c>
      <c r="L19" s="9">
        <v>2.0</v>
      </c>
      <c r="M19" s="12">
        <v>0.0</v>
      </c>
      <c r="N19" s="13">
        <f t="shared" si="1"/>
        <v>0</v>
      </c>
      <c r="O19" s="15" t="s">
        <v>29</v>
      </c>
      <c r="P19" s="13">
        <v>0.0</v>
      </c>
      <c r="Q19" s="13">
        <f t="shared" si="2"/>
        <v>0</v>
      </c>
      <c r="R19" s="13">
        <f t="shared" si="3"/>
        <v>0</v>
      </c>
      <c r="S19" s="13">
        <f t="shared" si="4"/>
        <v>0</v>
      </c>
      <c r="T19" s="10" t="s">
        <v>35</v>
      </c>
      <c r="U19" s="6"/>
    </row>
    <row r="20" ht="22.5" customHeight="1">
      <c r="A20" s="4" t="s">
        <v>21</v>
      </c>
      <c r="B20" s="5" t="s">
        <v>70</v>
      </c>
      <c r="C20" s="5" t="s">
        <v>52</v>
      </c>
      <c r="D20" s="6" t="s">
        <v>72</v>
      </c>
      <c r="F20" s="16"/>
      <c r="G20" s="8" t="b">
        <v>0</v>
      </c>
      <c r="H20" s="8" t="b">
        <v>0</v>
      </c>
      <c r="I20" s="9">
        <v>4.0</v>
      </c>
      <c r="J20" s="18" t="s">
        <v>45</v>
      </c>
      <c r="K20" s="11" t="s">
        <v>28</v>
      </c>
      <c r="L20" s="9">
        <v>2.0</v>
      </c>
      <c r="M20" s="12">
        <v>8.0</v>
      </c>
      <c r="N20" s="13">
        <f t="shared" si="1"/>
        <v>64</v>
      </c>
      <c r="O20" s="14" t="s">
        <v>28</v>
      </c>
      <c r="P20" s="13">
        <v>12.8</v>
      </c>
      <c r="Q20" s="13">
        <f t="shared" si="2"/>
        <v>76.8</v>
      </c>
      <c r="R20" s="13">
        <f t="shared" si="3"/>
        <v>9.984</v>
      </c>
      <c r="S20" s="13">
        <f t="shared" si="4"/>
        <v>86.784</v>
      </c>
      <c r="T20" s="20" t="s">
        <v>54</v>
      </c>
      <c r="U20" s="6"/>
    </row>
    <row r="21" ht="22.5" customHeight="1">
      <c r="A21" s="4" t="s">
        <v>21</v>
      </c>
      <c r="B21" s="5" t="s">
        <v>70</v>
      </c>
      <c r="C21" s="5" t="s">
        <v>52</v>
      </c>
      <c r="D21" s="6" t="s">
        <v>73</v>
      </c>
      <c r="F21" s="16"/>
      <c r="G21" s="8" t="b">
        <v>0</v>
      </c>
      <c r="H21" s="8" t="b">
        <v>0</v>
      </c>
      <c r="I21" s="9">
        <v>4.0</v>
      </c>
      <c r="J21" s="18" t="s">
        <v>45</v>
      </c>
      <c r="K21" s="11" t="s">
        <v>28</v>
      </c>
      <c r="L21" s="9">
        <v>2.0</v>
      </c>
      <c r="M21" s="12">
        <v>8.0</v>
      </c>
      <c r="N21" s="13">
        <f t="shared" si="1"/>
        <v>64</v>
      </c>
      <c r="O21" s="15" t="s">
        <v>28</v>
      </c>
      <c r="P21" s="13">
        <v>12.8</v>
      </c>
      <c r="Q21" s="13">
        <f t="shared" si="2"/>
        <v>76.8</v>
      </c>
      <c r="R21" s="13">
        <f t="shared" si="3"/>
        <v>9.984</v>
      </c>
      <c r="S21" s="13">
        <f t="shared" si="4"/>
        <v>86.784</v>
      </c>
      <c r="T21" s="20" t="s">
        <v>54</v>
      </c>
      <c r="U21" s="19"/>
    </row>
    <row r="22" ht="22.5" customHeight="1">
      <c r="A22" s="4" t="s">
        <v>21</v>
      </c>
      <c r="B22" s="5" t="s">
        <v>70</v>
      </c>
      <c r="C22" s="5" t="s">
        <v>64</v>
      </c>
      <c r="D22" s="6" t="s">
        <v>65</v>
      </c>
      <c r="F22" s="16"/>
      <c r="G22" s="8" t="b">
        <v>0</v>
      </c>
      <c r="H22" s="8" t="b">
        <v>0</v>
      </c>
      <c r="I22" s="9">
        <v>4.0</v>
      </c>
      <c r="J22" s="18" t="s">
        <v>27</v>
      </c>
      <c r="K22" s="11" t="s">
        <v>28</v>
      </c>
      <c r="L22" s="9">
        <v>2.0</v>
      </c>
      <c r="M22" s="12">
        <v>30.0</v>
      </c>
      <c r="N22" s="13">
        <f t="shared" si="1"/>
        <v>240</v>
      </c>
      <c r="O22" s="14" t="s">
        <v>29</v>
      </c>
      <c r="P22" s="13">
        <v>0.0</v>
      </c>
      <c r="Q22" s="13">
        <f t="shared" si="2"/>
        <v>240</v>
      </c>
      <c r="R22" s="13">
        <f t="shared" si="3"/>
        <v>31.2</v>
      </c>
      <c r="S22" s="13">
        <f t="shared" si="4"/>
        <v>271.2</v>
      </c>
      <c r="T22" s="24" t="s">
        <v>66</v>
      </c>
      <c r="U22" s="19"/>
    </row>
    <row r="23" ht="22.5" customHeight="1">
      <c r="A23" s="4" t="s">
        <v>21</v>
      </c>
      <c r="B23" s="5" t="s">
        <v>70</v>
      </c>
      <c r="C23" s="5" t="s">
        <v>64</v>
      </c>
      <c r="D23" s="6" t="s">
        <v>74</v>
      </c>
      <c r="E23" s="10" t="s">
        <v>75</v>
      </c>
      <c r="F23" s="16"/>
      <c r="G23" s="8" t="b">
        <v>0</v>
      </c>
      <c r="H23" s="8" t="b">
        <v>0</v>
      </c>
      <c r="I23" s="9">
        <v>500.0</v>
      </c>
      <c r="J23" s="18" t="s">
        <v>45</v>
      </c>
      <c r="K23" s="11" t="s">
        <v>29</v>
      </c>
      <c r="L23" s="9">
        <v>1.0</v>
      </c>
      <c r="M23" s="12">
        <v>0.3</v>
      </c>
      <c r="N23" s="13">
        <f t="shared" si="1"/>
        <v>150</v>
      </c>
      <c r="O23" s="15" t="s">
        <v>29</v>
      </c>
      <c r="P23" s="13">
        <v>0.0</v>
      </c>
      <c r="Q23" s="13">
        <f t="shared" si="2"/>
        <v>150</v>
      </c>
      <c r="R23" s="13">
        <f t="shared" si="3"/>
        <v>19.5</v>
      </c>
      <c r="S23" s="13">
        <f t="shared" si="4"/>
        <v>169.5</v>
      </c>
      <c r="T23" s="24" t="s">
        <v>66</v>
      </c>
      <c r="U23" s="6"/>
    </row>
    <row r="24" ht="22.5" customHeight="1">
      <c r="A24" s="4" t="s">
        <v>21</v>
      </c>
      <c r="B24" s="5" t="s">
        <v>76</v>
      </c>
      <c r="C24" s="5" t="s">
        <v>52</v>
      </c>
      <c r="D24" s="6" t="s">
        <v>77</v>
      </c>
      <c r="F24" s="16"/>
      <c r="G24" s="8" t="b">
        <v>0</v>
      </c>
      <c r="H24" s="8" t="b">
        <v>0</v>
      </c>
      <c r="I24" s="9">
        <v>12.0</v>
      </c>
      <c r="J24" s="18" t="s">
        <v>45</v>
      </c>
      <c r="K24" s="11" t="s">
        <v>28</v>
      </c>
      <c r="L24" s="9">
        <v>2.0</v>
      </c>
      <c r="M24" s="12">
        <v>8.0</v>
      </c>
      <c r="N24" s="13">
        <f t="shared" si="1"/>
        <v>192</v>
      </c>
      <c r="O24" s="14" t="s">
        <v>28</v>
      </c>
      <c r="P24" s="13">
        <v>38.400000000000006</v>
      </c>
      <c r="Q24" s="13">
        <f t="shared" si="2"/>
        <v>230.4</v>
      </c>
      <c r="R24" s="13">
        <f t="shared" si="3"/>
        <v>29.952</v>
      </c>
      <c r="S24" s="13">
        <f t="shared" si="4"/>
        <v>260.352</v>
      </c>
      <c r="T24" s="20" t="s">
        <v>54</v>
      </c>
      <c r="U24" s="6"/>
    </row>
    <row r="25" ht="22.5" customHeight="1">
      <c r="A25" s="4" t="s">
        <v>21</v>
      </c>
      <c r="B25" s="5" t="s">
        <v>76</v>
      </c>
      <c r="C25" s="5" t="s">
        <v>52</v>
      </c>
      <c r="D25" s="6" t="s">
        <v>78</v>
      </c>
      <c r="F25" s="16"/>
      <c r="G25" s="8" t="b">
        <v>0</v>
      </c>
      <c r="H25" s="8" t="b">
        <v>0</v>
      </c>
      <c r="I25" s="9">
        <v>6.0</v>
      </c>
      <c r="J25" s="18" t="s">
        <v>45</v>
      </c>
      <c r="K25" s="11" t="s">
        <v>28</v>
      </c>
      <c r="L25" s="9">
        <v>2.0</v>
      </c>
      <c r="M25" s="12">
        <v>50.0</v>
      </c>
      <c r="N25" s="13">
        <f t="shared" si="1"/>
        <v>600</v>
      </c>
      <c r="O25" s="23" t="s">
        <v>28</v>
      </c>
      <c r="P25" s="13">
        <v>120.0</v>
      </c>
      <c r="Q25" s="13">
        <f t="shared" si="2"/>
        <v>720</v>
      </c>
      <c r="R25" s="13">
        <f t="shared" si="3"/>
        <v>93.6</v>
      </c>
      <c r="S25" s="13">
        <f t="shared" si="4"/>
        <v>813.6</v>
      </c>
      <c r="T25" s="20" t="s">
        <v>54</v>
      </c>
      <c r="U25" s="19"/>
    </row>
    <row r="26" ht="22.5" customHeight="1">
      <c r="A26" s="4" t="s">
        <v>21</v>
      </c>
      <c r="B26" s="5" t="s">
        <v>76</v>
      </c>
      <c r="C26" s="5" t="s">
        <v>52</v>
      </c>
      <c r="D26" s="21" t="s">
        <v>79</v>
      </c>
      <c r="F26" s="16"/>
      <c r="G26" s="8" t="b">
        <v>1</v>
      </c>
      <c r="H26" s="8" t="b">
        <v>0</v>
      </c>
      <c r="I26" s="9">
        <v>10.0</v>
      </c>
      <c r="J26" s="18" t="s">
        <v>45</v>
      </c>
      <c r="K26" s="11" t="s">
        <v>28</v>
      </c>
      <c r="L26" s="9">
        <v>2.0</v>
      </c>
      <c r="M26" s="12">
        <v>0.0</v>
      </c>
      <c r="N26" s="13">
        <f t="shared" si="1"/>
        <v>0</v>
      </c>
      <c r="O26" s="14" t="s">
        <v>29</v>
      </c>
      <c r="P26" s="13">
        <v>0.0</v>
      </c>
      <c r="Q26" s="13">
        <f t="shared" si="2"/>
        <v>0</v>
      </c>
      <c r="R26" s="13">
        <f t="shared" si="3"/>
        <v>0</v>
      </c>
      <c r="S26" s="13">
        <f t="shared" si="4"/>
        <v>0</v>
      </c>
      <c r="T26" s="10" t="s">
        <v>58</v>
      </c>
      <c r="U26" s="19"/>
    </row>
    <row r="27" ht="22.5" customHeight="1">
      <c r="A27" s="4" t="s">
        <v>21</v>
      </c>
      <c r="B27" s="5" t="s">
        <v>76</v>
      </c>
      <c r="C27" s="5" t="s">
        <v>52</v>
      </c>
      <c r="D27" s="21" t="s">
        <v>80</v>
      </c>
      <c r="E27" s="10" t="s">
        <v>81</v>
      </c>
      <c r="F27" s="16"/>
      <c r="G27" s="8" t="b">
        <v>1</v>
      </c>
      <c r="H27" s="8" t="b">
        <v>0</v>
      </c>
      <c r="I27" s="9">
        <v>4.0</v>
      </c>
      <c r="J27" s="18" t="s">
        <v>45</v>
      </c>
      <c r="K27" s="11" t="s">
        <v>28</v>
      </c>
      <c r="L27" s="9">
        <v>2.0</v>
      </c>
      <c r="M27" s="12">
        <v>0.0</v>
      </c>
      <c r="N27" s="13">
        <f t="shared" si="1"/>
        <v>0</v>
      </c>
      <c r="O27" s="15" t="s">
        <v>29</v>
      </c>
      <c r="P27" s="13">
        <v>0.0</v>
      </c>
      <c r="Q27" s="13">
        <f t="shared" si="2"/>
        <v>0</v>
      </c>
      <c r="R27" s="13">
        <f t="shared" si="3"/>
        <v>0</v>
      </c>
      <c r="S27" s="13">
        <f t="shared" si="4"/>
        <v>0</v>
      </c>
      <c r="T27" s="10" t="s">
        <v>58</v>
      </c>
      <c r="U27" s="6"/>
    </row>
    <row r="28" ht="22.5" customHeight="1">
      <c r="A28" s="4" t="s">
        <v>21</v>
      </c>
      <c r="B28" s="5" t="s">
        <v>76</v>
      </c>
      <c r="C28" s="5" t="s">
        <v>52</v>
      </c>
      <c r="D28" s="21" t="s">
        <v>82</v>
      </c>
      <c r="E28" s="10" t="s">
        <v>81</v>
      </c>
      <c r="F28" s="16"/>
      <c r="G28" s="8" t="b">
        <v>1</v>
      </c>
      <c r="H28" s="8" t="b">
        <v>0</v>
      </c>
      <c r="I28" s="9">
        <v>1.0</v>
      </c>
      <c r="J28" s="18" t="s">
        <v>45</v>
      </c>
      <c r="K28" s="11" t="s">
        <v>28</v>
      </c>
      <c r="L28" s="9">
        <v>2.0</v>
      </c>
      <c r="M28" s="12">
        <v>0.0</v>
      </c>
      <c r="N28" s="13">
        <f t="shared" si="1"/>
        <v>0</v>
      </c>
      <c r="O28" s="14" t="s">
        <v>29</v>
      </c>
      <c r="P28" s="13">
        <v>0.0</v>
      </c>
      <c r="Q28" s="13">
        <f t="shared" si="2"/>
        <v>0</v>
      </c>
      <c r="R28" s="13">
        <f t="shared" si="3"/>
        <v>0</v>
      </c>
      <c r="S28" s="13">
        <f t="shared" si="4"/>
        <v>0</v>
      </c>
      <c r="T28" s="10" t="s">
        <v>58</v>
      </c>
      <c r="U28" s="19"/>
    </row>
    <row r="29" ht="22.5" customHeight="1">
      <c r="A29" s="4" t="s">
        <v>21</v>
      </c>
      <c r="B29" s="5" t="s">
        <v>76</v>
      </c>
      <c r="C29" s="5" t="s">
        <v>52</v>
      </c>
      <c r="D29" s="21" t="s">
        <v>83</v>
      </c>
      <c r="E29" s="10" t="s">
        <v>81</v>
      </c>
      <c r="F29" s="16"/>
      <c r="G29" s="8" t="b">
        <v>1</v>
      </c>
      <c r="H29" s="8" t="b">
        <v>0</v>
      </c>
      <c r="I29" s="9">
        <v>1.0</v>
      </c>
      <c r="J29" s="18" t="s">
        <v>45</v>
      </c>
      <c r="K29" s="11" t="s">
        <v>28</v>
      </c>
      <c r="L29" s="9">
        <v>2.0</v>
      </c>
      <c r="M29" s="12">
        <v>0.0</v>
      </c>
      <c r="N29" s="13">
        <f t="shared" si="1"/>
        <v>0</v>
      </c>
      <c r="O29" s="15" t="s">
        <v>29</v>
      </c>
      <c r="P29" s="13">
        <v>0.0</v>
      </c>
      <c r="Q29" s="13">
        <f t="shared" si="2"/>
        <v>0</v>
      </c>
      <c r="R29" s="13">
        <f t="shared" si="3"/>
        <v>0</v>
      </c>
      <c r="S29" s="13">
        <f t="shared" si="4"/>
        <v>0</v>
      </c>
      <c r="T29" s="10" t="s">
        <v>58</v>
      </c>
      <c r="U29" s="19"/>
    </row>
    <row r="30" ht="22.5" customHeight="1">
      <c r="A30" s="4" t="s">
        <v>21</v>
      </c>
      <c r="B30" s="5" t="s">
        <v>76</v>
      </c>
      <c r="C30" s="5" t="s">
        <v>84</v>
      </c>
      <c r="D30" s="21" t="s">
        <v>85</v>
      </c>
      <c r="F30" s="10" t="s">
        <v>86</v>
      </c>
      <c r="G30" s="8" t="b">
        <v>1</v>
      </c>
      <c r="H30" s="8" t="b">
        <v>0</v>
      </c>
      <c r="I30" s="9">
        <v>12.0</v>
      </c>
      <c r="J30" s="18" t="s">
        <v>45</v>
      </c>
      <c r="K30" s="11" t="s">
        <v>28</v>
      </c>
      <c r="L30" s="9">
        <v>2.0</v>
      </c>
      <c r="M30" s="12">
        <v>0.0</v>
      </c>
      <c r="N30" s="13">
        <f t="shared" si="1"/>
        <v>0</v>
      </c>
      <c r="O30" s="14" t="s">
        <v>29</v>
      </c>
      <c r="P30" s="13">
        <v>0.0</v>
      </c>
      <c r="Q30" s="13">
        <f t="shared" si="2"/>
        <v>0</v>
      </c>
      <c r="R30" s="13">
        <f t="shared" si="3"/>
        <v>0</v>
      </c>
      <c r="S30" s="13">
        <f t="shared" si="4"/>
        <v>0</v>
      </c>
      <c r="T30" s="10" t="s">
        <v>35</v>
      </c>
      <c r="U30" s="19"/>
    </row>
    <row r="31" ht="22.5" customHeight="1">
      <c r="A31" s="4" t="s">
        <v>21</v>
      </c>
      <c r="B31" s="5" t="s">
        <v>76</v>
      </c>
      <c r="C31" s="5" t="s">
        <v>33</v>
      </c>
      <c r="D31" s="6" t="s">
        <v>87</v>
      </c>
      <c r="F31" s="16"/>
      <c r="G31" s="8" t="b">
        <v>1</v>
      </c>
      <c r="H31" s="8" t="b">
        <v>0</v>
      </c>
      <c r="I31" s="9">
        <v>4.0</v>
      </c>
      <c r="J31" s="18" t="s">
        <v>27</v>
      </c>
      <c r="K31" s="11" t="s">
        <v>28</v>
      </c>
      <c r="L31" s="9">
        <v>2.0</v>
      </c>
      <c r="M31" s="12">
        <v>0.0</v>
      </c>
      <c r="N31" s="13">
        <f t="shared" si="1"/>
        <v>0</v>
      </c>
      <c r="O31" s="15" t="s">
        <v>29</v>
      </c>
      <c r="P31" s="13">
        <v>0.0</v>
      </c>
      <c r="Q31" s="13">
        <f t="shared" si="2"/>
        <v>0</v>
      </c>
      <c r="R31" s="13">
        <f t="shared" si="3"/>
        <v>0</v>
      </c>
      <c r="S31" s="13">
        <f t="shared" si="4"/>
        <v>0</v>
      </c>
      <c r="T31" s="10" t="s">
        <v>35</v>
      </c>
      <c r="U31" s="19"/>
    </row>
    <row r="32" ht="22.5" customHeight="1">
      <c r="A32" s="4" t="s">
        <v>21</v>
      </c>
      <c r="B32" s="5" t="s">
        <v>76</v>
      </c>
      <c r="C32" s="5" t="s">
        <v>33</v>
      </c>
      <c r="D32" s="6" t="s">
        <v>88</v>
      </c>
      <c r="F32" s="16"/>
      <c r="G32" s="8" t="b">
        <v>1</v>
      </c>
      <c r="H32" s="8" t="b">
        <v>0</v>
      </c>
      <c r="I32" s="9">
        <v>12.0</v>
      </c>
      <c r="J32" s="18" t="s">
        <v>27</v>
      </c>
      <c r="K32" s="11" t="s">
        <v>28</v>
      </c>
      <c r="L32" s="9">
        <v>2.0</v>
      </c>
      <c r="M32" s="12">
        <v>0.0</v>
      </c>
      <c r="N32" s="13">
        <f t="shared" si="1"/>
        <v>0</v>
      </c>
      <c r="O32" s="14" t="s">
        <v>29</v>
      </c>
      <c r="P32" s="13">
        <v>0.0</v>
      </c>
      <c r="Q32" s="13">
        <f t="shared" si="2"/>
        <v>0</v>
      </c>
      <c r="R32" s="13">
        <f t="shared" si="3"/>
        <v>0</v>
      </c>
      <c r="S32" s="13">
        <f t="shared" si="4"/>
        <v>0</v>
      </c>
      <c r="T32" s="10" t="s">
        <v>35</v>
      </c>
      <c r="U32" s="6"/>
    </row>
    <row r="33" ht="22.5" customHeight="1">
      <c r="A33" s="4" t="s">
        <v>21</v>
      </c>
      <c r="B33" s="5" t="s">
        <v>76</v>
      </c>
      <c r="C33" s="5" t="s">
        <v>89</v>
      </c>
      <c r="D33" s="6" t="s">
        <v>90</v>
      </c>
      <c r="F33" s="16"/>
      <c r="G33" s="8" t="b">
        <v>0</v>
      </c>
      <c r="H33" s="8" t="b">
        <v>0</v>
      </c>
      <c r="I33" s="9">
        <v>500.0</v>
      </c>
      <c r="J33" s="18" t="s">
        <v>45</v>
      </c>
      <c r="K33" s="11" t="s">
        <v>29</v>
      </c>
      <c r="L33" s="9">
        <v>1.0</v>
      </c>
      <c r="M33" s="12">
        <v>2.32</v>
      </c>
      <c r="N33" s="13">
        <f t="shared" si="1"/>
        <v>1160</v>
      </c>
      <c r="O33" s="15" t="s">
        <v>29</v>
      </c>
      <c r="P33" s="13">
        <v>0.0</v>
      </c>
      <c r="Q33" s="13">
        <f t="shared" si="2"/>
        <v>1160</v>
      </c>
      <c r="R33" s="13">
        <f t="shared" si="3"/>
        <v>150.8</v>
      </c>
      <c r="S33" s="13">
        <f t="shared" si="4"/>
        <v>1310.8</v>
      </c>
      <c r="U33" s="6"/>
    </row>
    <row r="34" ht="22.5" customHeight="1">
      <c r="A34" s="4" t="s">
        <v>21</v>
      </c>
      <c r="B34" s="5" t="s">
        <v>76</v>
      </c>
      <c r="C34" s="5" t="s">
        <v>89</v>
      </c>
      <c r="D34" s="6" t="s">
        <v>91</v>
      </c>
      <c r="F34" s="16"/>
      <c r="G34" s="8" t="b">
        <v>0</v>
      </c>
      <c r="H34" s="8" t="b">
        <v>0</v>
      </c>
      <c r="I34" s="9">
        <v>500.0</v>
      </c>
      <c r="J34" s="18" t="s">
        <v>45</v>
      </c>
      <c r="K34" s="11" t="s">
        <v>29</v>
      </c>
      <c r="L34" s="9">
        <v>1.0</v>
      </c>
      <c r="M34" s="12">
        <v>1.87</v>
      </c>
      <c r="N34" s="13">
        <f t="shared" si="1"/>
        <v>935</v>
      </c>
      <c r="O34" s="14" t="s">
        <v>29</v>
      </c>
      <c r="P34" s="13">
        <v>0.0</v>
      </c>
      <c r="Q34" s="13">
        <f t="shared" si="2"/>
        <v>935</v>
      </c>
      <c r="R34" s="13">
        <f t="shared" si="3"/>
        <v>121.55</v>
      </c>
      <c r="S34" s="13">
        <f t="shared" si="4"/>
        <v>1056.55</v>
      </c>
      <c r="U34" s="6"/>
    </row>
    <row r="35" ht="22.5" customHeight="1">
      <c r="A35" s="4" t="s">
        <v>21</v>
      </c>
      <c r="B35" s="5" t="s">
        <v>76</v>
      </c>
      <c r="C35" s="5" t="s">
        <v>92</v>
      </c>
      <c r="D35" s="6" t="s">
        <v>93</v>
      </c>
      <c r="F35" s="16"/>
      <c r="G35" s="8" t="b">
        <v>0</v>
      </c>
      <c r="H35" s="8" t="b">
        <v>0</v>
      </c>
      <c r="I35" s="9">
        <v>550.0</v>
      </c>
      <c r="J35" s="18" t="s">
        <v>45</v>
      </c>
      <c r="K35" s="11" t="s">
        <v>29</v>
      </c>
      <c r="L35" s="9">
        <v>1.0</v>
      </c>
      <c r="M35" s="12">
        <v>3.39</v>
      </c>
      <c r="N35" s="13">
        <f t="shared" si="1"/>
        <v>1864.5</v>
      </c>
      <c r="O35" s="15" t="s">
        <v>29</v>
      </c>
      <c r="P35" s="13">
        <v>0.0</v>
      </c>
      <c r="Q35" s="13">
        <f t="shared" si="2"/>
        <v>1864.5</v>
      </c>
      <c r="R35" s="13">
        <f t="shared" si="3"/>
        <v>242.385</v>
      </c>
      <c r="S35" s="13">
        <f t="shared" si="4"/>
        <v>2106.885</v>
      </c>
      <c r="U35" s="25"/>
    </row>
    <row r="36" ht="22.5" customHeight="1">
      <c r="A36" s="4" t="s">
        <v>21</v>
      </c>
      <c r="B36" s="5" t="s">
        <v>76</v>
      </c>
      <c r="C36" s="5" t="s">
        <v>94</v>
      </c>
      <c r="D36" s="6" t="s">
        <v>95</v>
      </c>
      <c r="E36" s="10" t="s">
        <v>96</v>
      </c>
      <c r="F36" s="10" t="s">
        <v>97</v>
      </c>
      <c r="G36" s="8" t="b">
        <v>0</v>
      </c>
      <c r="H36" s="8" t="b">
        <v>0</v>
      </c>
      <c r="I36" s="9">
        <v>1000.0</v>
      </c>
      <c r="J36" s="18" t="s">
        <v>45</v>
      </c>
      <c r="K36" s="11" t="s">
        <v>29</v>
      </c>
      <c r="L36" s="9">
        <v>1.0</v>
      </c>
      <c r="M36" s="12">
        <v>0.06</v>
      </c>
      <c r="N36" s="13">
        <f t="shared" si="1"/>
        <v>60</v>
      </c>
      <c r="O36" s="23" t="s">
        <v>28</v>
      </c>
      <c r="P36" s="13">
        <v>12.0</v>
      </c>
      <c r="Q36" s="13">
        <f t="shared" si="2"/>
        <v>72</v>
      </c>
      <c r="R36" s="13">
        <f t="shared" si="3"/>
        <v>9.36</v>
      </c>
      <c r="S36" s="13">
        <f t="shared" si="4"/>
        <v>81.36</v>
      </c>
      <c r="T36" s="26" t="s">
        <v>98</v>
      </c>
      <c r="U36" s="25"/>
    </row>
    <row r="37" ht="22.5" customHeight="1">
      <c r="A37" s="4" t="s">
        <v>21</v>
      </c>
      <c r="B37" s="5" t="s">
        <v>99</v>
      </c>
      <c r="C37" s="5" t="s">
        <v>43</v>
      </c>
      <c r="D37" s="6" t="s">
        <v>100</v>
      </c>
      <c r="F37" s="10" t="s">
        <v>101</v>
      </c>
      <c r="G37" s="8" t="b">
        <v>0</v>
      </c>
      <c r="H37" s="8" t="b">
        <v>0</v>
      </c>
      <c r="I37" s="9">
        <v>1.0</v>
      </c>
      <c r="J37" s="18" t="s">
        <v>45</v>
      </c>
      <c r="K37" s="11" t="s">
        <v>29</v>
      </c>
      <c r="L37" s="9">
        <v>1.0</v>
      </c>
      <c r="M37" s="12">
        <v>233.49</v>
      </c>
      <c r="N37" s="13">
        <f t="shared" si="1"/>
        <v>233.49</v>
      </c>
      <c r="O37" s="15" t="s">
        <v>28</v>
      </c>
      <c r="P37" s="13">
        <v>46.69800000000001</v>
      </c>
      <c r="Q37" s="13">
        <f t="shared" si="2"/>
        <v>280.188</v>
      </c>
      <c r="R37" s="13">
        <f t="shared" si="3"/>
        <v>36.42444</v>
      </c>
      <c r="S37" s="13">
        <f t="shared" si="4"/>
        <v>316.61244</v>
      </c>
      <c r="T37" s="19" t="s">
        <v>102</v>
      </c>
      <c r="U37" s="25"/>
    </row>
    <row r="38" ht="22.5" customHeight="1">
      <c r="A38" s="4" t="s">
        <v>21</v>
      </c>
      <c r="B38" s="5" t="s">
        <v>99</v>
      </c>
      <c r="C38" s="5" t="s">
        <v>43</v>
      </c>
      <c r="D38" s="21" t="s">
        <v>103</v>
      </c>
      <c r="F38" s="10" t="s">
        <v>104</v>
      </c>
      <c r="G38" s="8" t="b">
        <v>0</v>
      </c>
      <c r="H38" s="8" t="b">
        <v>0</v>
      </c>
      <c r="I38" s="9">
        <v>1.0</v>
      </c>
      <c r="J38" s="18" t="s">
        <v>45</v>
      </c>
      <c r="K38" s="11" t="s">
        <v>29</v>
      </c>
      <c r="L38" s="9">
        <v>1.0</v>
      </c>
      <c r="M38" s="12">
        <v>400.0</v>
      </c>
      <c r="N38" s="13">
        <f t="shared" si="1"/>
        <v>400</v>
      </c>
      <c r="O38" s="23" t="s">
        <v>28</v>
      </c>
      <c r="P38" s="13">
        <v>80.0</v>
      </c>
      <c r="Q38" s="13">
        <f t="shared" si="2"/>
        <v>480</v>
      </c>
      <c r="R38" s="13">
        <f t="shared" si="3"/>
        <v>62.4</v>
      </c>
      <c r="S38" s="13">
        <f t="shared" si="4"/>
        <v>542.4</v>
      </c>
      <c r="T38" s="19" t="s">
        <v>54</v>
      </c>
      <c r="U38" s="19"/>
    </row>
    <row r="39" ht="22.5" customHeight="1">
      <c r="A39" s="4" t="s">
        <v>21</v>
      </c>
      <c r="B39" s="5" t="s">
        <v>99</v>
      </c>
      <c r="C39" s="5" t="s">
        <v>105</v>
      </c>
      <c r="D39" s="21" t="s">
        <v>106</v>
      </c>
      <c r="F39" s="16"/>
      <c r="G39" s="8" t="b">
        <v>0</v>
      </c>
      <c r="H39" s="8" t="b">
        <v>1</v>
      </c>
      <c r="I39" s="9">
        <v>1.0</v>
      </c>
      <c r="J39" s="18" t="s">
        <v>45</v>
      </c>
      <c r="K39" s="11" t="s">
        <v>29</v>
      </c>
      <c r="L39" s="9">
        <v>1.0</v>
      </c>
      <c r="M39" s="12">
        <v>600.0</v>
      </c>
      <c r="N39" s="13">
        <f t="shared" si="1"/>
        <v>600</v>
      </c>
      <c r="O39" s="15" t="s">
        <v>28</v>
      </c>
      <c r="P39" s="13">
        <v>120.0</v>
      </c>
      <c r="Q39" s="13">
        <f t="shared" si="2"/>
        <v>720</v>
      </c>
      <c r="R39" s="13">
        <f t="shared" si="3"/>
        <v>93.6</v>
      </c>
      <c r="S39" s="13">
        <f t="shared" si="4"/>
        <v>813.6</v>
      </c>
      <c r="T39" s="19" t="s">
        <v>54</v>
      </c>
      <c r="U39" s="19"/>
    </row>
    <row r="40" ht="22.5" customHeight="1">
      <c r="A40" s="4" t="s">
        <v>21</v>
      </c>
      <c r="B40" s="5" t="s">
        <v>99</v>
      </c>
      <c r="C40" s="5" t="s">
        <v>105</v>
      </c>
      <c r="D40" s="6" t="s">
        <v>107</v>
      </c>
      <c r="F40" s="16"/>
      <c r="G40" s="8" t="b">
        <v>0</v>
      </c>
      <c r="H40" s="8" t="b">
        <v>1</v>
      </c>
      <c r="I40" s="9">
        <v>1.0</v>
      </c>
      <c r="J40" s="22" t="s">
        <v>108</v>
      </c>
      <c r="K40" s="11" t="s">
        <v>29</v>
      </c>
      <c r="L40" s="9">
        <v>1.0</v>
      </c>
      <c r="M40" s="12">
        <v>600.0</v>
      </c>
      <c r="N40" s="13">
        <f t="shared" si="1"/>
        <v>600</v>
      </c>
      <c r="O40" s="14" t="s">
        <v>28</v>
      </c>
      <c r="P40" s="13">
        <v>120.0</v>
      </c>
      <c r="Q40" s="13">
        <f t="shared" si="2"/>
        <v>720</v>
      </c>
      <c r="R40" s="13">
        <f t="shared" si="3"/>
        <v>93.6</v>
      </c>
      <c r="S40" s="13">
        <f t="shared" si="4"/>
        <v>813.6</v>
      </c>
      <c r="T40" s="19" t="s">
        <v>54</v>
      </c>
      <c r="U40" s="19"/>
    </row>
    <row r="41" ht="22.5" customHeight="1">
      <c r="A41" s="4" t="s">
        <v>21</v>
      </c>
      <c r="B41" s="5" t="s">
        <v>99</v>
      </c>
      <c r="C41" s="5" t="s">
        <v>109</v>
      </c>
      <c r="D41" s="6" t="s">
        <v>110</v>
      </c>
      <c r="F41" s="16"/>
      <c r="G41" s="8" t="b">
        <v>0</v>
      </c>
      <c r="H41" s="8" t="b">
        <v>0</v>
      </c>
      <c r="I41" s="9">
        <v>1.0</v>
      </c>
      <c r="J41" s="22" t="s">
        <v>108</v>
      </c>
      <c r="K41" s="11" t="s">
        <v>29</v>
      </c>
      <c r="L41" s="9">
        <v>1.0</v>
      </c>
      <c r="M41" s="12">
        <v>333.33</v>
      </c>
      <c r="N41" s="13">
        <f t="shared" si="1"/>
        <v>333.33</v>
      </c>
      <c r="O41" s="15" t="s">
        <v>28</v>
      </c>
      <c r="P41" s="13">
        <v>66.666</v>
      </c>
      <c r="Q41" s="13">
        <f t="shared" si="2"/>
        <v>399.996</v>
      </c>
      <c r="R41" s="13">
        <f t="shared" si="3"/>
        <v>51.99948</v>
      </c>
      <c r="S41" s="13">
        <f t="shared" si="4"/>
        <v>451.99548</v>
      </c>
      <c r="U41" s="19"/>
    </row>
    <row r="42" ht="22.5" customHeight="1">
      <c r="A42" s="4" t="s">
        <v>21</v>
      </c>
      <c r="B42" s="5" t="s">
        <v>99</v>
      </c>
      <c r="C42" s="5" t="s">
        <v>111</v>
      </c>
      <c r="D42" s="6" t="s">
        <v>112</v>
      </c>
      <c r="F42" s="16"/>
      <c r="G42" s="8" t="b">
        <v>0</v>
      </c>
      <c r="H42" s="8" t="b">
        <v>0</v>
      </c>
      <c r="I42" s="9">
        <v>1.0</v>
      </c>
      <c r="J42" s="18" t="s">
        <v>45</v>
      </c>
      <c r="K42" s="11" t="s">
        <v>29</v>
      </c>
      <c r="L42" s="9">
        <v>1.0</v>
      </c>
      <c r="M42" s="12">
        <v>0.0</v>
      </c>
      <c r="N42" s="13">
        <f t="shared" si="1"/>
        <v>0</v>
      </c>
      <c r="O42" s="14" t="s">
        <v>28</v>
      </c>
      <c r="P42" s="13">
        <v>0.0</v>
      </c>
      <c r="Q42" s="13">
        <f t="shared" si="2"/>
        <v>0</v>
      </c>
      <c r="R42" s="13">
        <f t="shared" si="3"/>
        <v>0</v>
      </c>
      <c r="S42" s="13">
        <f t="shared" si="4"/>
        <v>0</v>
      </c>
      <c r="U42" s="19"/>
    </row>
    <row r="43" ht="22.5" customHeight="1">
      <c r="A43" s="4" t="s">
        <v>21</v>
      </c>
      <c r="B43" s="5" t="s">
        <v>113</v>
      </c>
      <c r="C43" s="5" t="s">
        <v>52</v>
      </c>
      <c r="D43" s="21" t="s">
        <v>114</v>
      </c>
      <c r="E43" s="10" t="s">
        <v>81</v>
      </c>
      <c r="F43" s="16"/>
      <c r="G43" s="8" t="b">
        <v>0</v>
      </c>
      <c r="H43" s="8" t="b">
        <v>0</v>
      </c>
      <c r="I43" s="9">
        <v>3.0</v>
      </c>
      <c r="J43" s="18" t="s">
        <v>45</v>
      </c>
      <c r="K43" s="11" t="s">
        <v>28</v>
      </c>
      <c r="L43" s="9">
        <v>2.0</v>
      </c>
      <c r="M43" s="12">
        <v>0.0</v>
      </c>
      <c r="N43" s="13">
        <f t="shared" si="1"/>
        <v>0</v>
      </c>
      <c r="O43" s="15" t="s">
        <v>28</v>
      </c>
      <c r="P43" s="13">
        <v>0.0</v>
      </c>
      <c r="Q43" s="13">
        <f t="shared" si="2"/>
        <v>0</v>
      </c>
      <c r="R43" s="13">
        <f t="shared" si="3"/>
        <v>0</v>
      </c>
      <c r="S43" s="13">
        <f t="shared" si="4"/>
        <v>0</v>
      </c>
      <c r="T43" s="10" t="s">
        <v>58</v>
      </c>
      <c r="U43" s="6"/>
    </row>
    <row r="44" ht="22.5" customHeight="1">
      <c r="A44" s="4" t="s">
        <v>21</v>
      </c>
      <c r="B44" s="5" t="s">
        <v>113</v>
      </c>
      <c r="C44" s="5" t="s">
        <v>59</v>
      </c>
      <c r="D44" s="21" t="s">
        <v>115</v>
      </c>
      <c r="F44" s="7" t="s">
        <v>61</v>
      </c>
      <c r="G44" s="8" t="b">
        <v>0</v>
      </c>
      <c r="H44" s="8" t="b">
        <v>0</v>
      </c>
      <c r="I44" s="9">
        <v>3.0</v>
      </c>
      <c r="J44" s="18" t="s">
        <v>45</v>
      </c>
      <c r="K44" s="11" t="s">
        <v>28</v>
      </c>
      <c r="L44" s="9">
        <v>2.0</v>
      </c>
      <c r="M44" s="12">
        <v>3.0</v>
      </c>
      <c r="N44" s="13">
        <f t="shared" si="1"/>
        <v>18</v>
      </c>
      <c r="O44" s="23" t="s">
        <v>28</v>
      </c>
      <c r="P44" s="13">
        <v>3.6</v>
      </c>
      <c r="Q44" s="13">
        <f t="shared" si="2"/>
        <v>21.6</v>
      </c>
      <c r="R44" s="13">
        <f t="shared" si="3"/>
        <v>2.808</v>
      </c>
      <c r="S44" s="13">
        <f t="shared" si="4"/>
        <v>24.408</v>
      </c>
      <c r="T44" s="27" t="s">
        <v>62</v>
      </c>
      <c r="U44" s="6"/>
    </row>
    <row r="45" ht="22.5" customHeight="1">
      <c r="A45" s="4" t="s">
        <v>21</v>
      </c>
      <c r="B45" s="5" t="s">
        <v>113</v>
      </c>
      <c r="C45" s="5" t="s">
        <v>52</v>
      </c>
      <c r="D45" s="21" t="s">
        <v>116</v>
      </c>
      <c r="E45" s="10" t="s">
        <v>117</v>
      </c>
      <c r="F45" s="16"/>
      <c r="G45" s="8" t="b">
        <v>0</v>
      </c>
      <c r="H45" s="8" t="b">
        <v>0</v>
      </c>
      <c r="I45" s="9">
        <v>4.0</v>
      </c>
      <c r="J45" s="18" t="s">
        <v>45</v>
      </c>
      <c r="K45" s="11" t="s">
        <v>28</v>
      </c>
      <c r="L45" s="9">
        <v>2.0</v>
      </c>
      <c r="M45" s="12">
        <v>0.0</v>
      </c>
      <c r="N45" s="13">
        <f t="shared" si="1"/>
        <v>0</v>
      </c>
      <c r="O45" s="15" t="s">
        <v>29</v>
      </c>
      <c r="P45" s="13">
        <v>0.0</v>
      </c>
      <c r="Q45" s="13">
        <f t="shared" si="2"/>
        <v>0</v>
      </c>
      <c r="R45" s="13">
        <f t="shared" si="3"/>
        <v>0</v>
      </c>
      <c r="S45" s="13">
        <f t="shared" si="4"/>
        <v>0</v>
      </c>
      <c r="T45" s="10" t="s">
        <v>58</v>
      </c>
      <c r="U45" s="19"/>
    </row>
    <row r="46" ht="22.5" customHeight="1">
      <c r="A46" s="4" t="s">
        <v>21</v>
      </c>
      <c r="B46" s="5" t="s">
        <v>113</v>
      </c>
      <c r="C46" s="5" t="s">
        <v>43</v>
      </c>
      <c r="D46" s="6" t="s">
        <v>118</v>
      </c>
      <c r="F46" s="16"/>
      <c r="G46" s="8" t="b">
        <v>0</v>
      </c>
      <c r="H46" s="8" t="b">
        <v>0</v>
      </c>
      <c r="I46" s="9">
        <v>1.0</v>
      </c>
      <c r="J46" s="18" t="s">
        <v>45</v>
      </c>
      <c r="K46" s="11" t="s">
        <v>29</v>
      </c>
      <c r="L46" s="9">
        <v>1.0</v>
      </c>
      <c r="M46" s="12">
        <v>200.0</v>
      </c>
      <c r="N46" s="13">
        <f t="shared" si="1"/>
        <v>200</v>
      </c>
      <c r="O46" s="14" t="s">
        <v>28</v>
      </c>
      <c r="P46" s="13">
        <v>40.0</v>
      </c>
      <c r="Q46" s="13">
        <f t="shared" si="2"/>
        <v>240</v>
      </c>
      <c r="R46" s="13">
        <f t="shared" si="3"/>
        <v>31.2</v>
      </c>
      <c r="S46" s="13">
        <f t="shared" si="4"/>
        <v>271.2</v>
      </c>
      <c r="T46" s="19" t="s">
        <v>54</v>
      </c>
      <c r="U46" s="19"/>
    </row>
    <row r="47" ht="22.5" customHeight="1">
      <c r="A47" s="4" t="s">
        <v>21</v>
      </c>
      <c r="B47" s="5" t="s">
        <v>113</v>
      </c>
      <c r="C47" s="5" t="s">
        <v>33</v>
      </c>
      <c r="D47" s="6" t="s">
        <v>119</v>
      </c>
      <c r="F47" s="16"/>
      <c r="G47" s="8" t="b">
        <v>1</v>
      </c>
      <c r="H47" s="8" t="b">
        <v>0</v>
      </c>
      <c r="I47" s="9">
        <v>2.0</v>
      </c>
      <c r="J47" s="10" t="s">
        <v>27</v>
      </c>
      <c r="K47" s="11" t="s">
        <v>28</v>
      </c>
      <c r="L47" s="9">
        <v>2.0</v>
      </c>
      <c r="M47" s="12">
        <v>0.0</v>
      </c>
      <c r="N47" s="13">
        <f t="shared" si="1"/>
        <v>0</v>
      </c>
      <c r="O47" s="15" t="s">
        <v>29</v>
      </c>
      <c r="P47" s="13">
        <v>0.0</v>
      </c>
      <c r="Q47" s="13">
        <f t="shared" si="2"/>
        <v>0</v>
      </c>
      <c r="R47" s="13">
        <f t="shared" si="3"/>
        <v>0</v>
      </c>
      <c r="S47" s="13">
        <f t="shared" si="4"/>
        <v>0</v>
      </c>
      <c r="T47" s="10" t="s">
        <v>35</v>
      </c>
      <c r="U47" s="6"/>
    </row>
    <row r="48" ht="22.5" customHeight="1">
      <c r="A48" s="4" t="s">
        <v>21</v>
      </c>
      <c r="B48" s="5" t="s">
        <v>120</v>
      </c>
      <c r="C48" s="5" t="s">
        <v>43</v>
      </c>
      <c r="D48" s="6" t="s">
        <v>121</v>
      </c>
      <c r="F48" s="16"/>
      <c r="G48" s="8" t="b">
        <v>0</v>
      </c>
      <c r="H48" s="8" t="b">
        <v>0</v>
      </c>
      <c r="I48" s="9">
        <v>1.0</v>
      </c>
      <c r="J48" s="18" t="s">
        <v>45</v>
      </c>
      <c r="K48" s="11" t="s">
        <v>28</v>
      </c>
      <c r="L48" s="9">
        <v>2.0</v>
      </c>
      <c r="M48" s="28">
        <v>870.0</v>
      </c>
      <c r="N48" s="13">
        <f t="shared" si="1"/>
        <v>1740</v>
      </c>
      <c r="O48" s="14" t="s">
        <v>28</v>
      </c>
      <c r="P48" s="13">
        <v>348.0</v>
      </c>
      <c r="Q48" s="13">
        <f t="shared" si="2"/>
        <v>2088</v>
      </c>
      <c r="R48" s="13">
        <f t="shared" si="3"/>
        <v>271.44</v>
      </c>
      <c r="S48" s="13">
        <f t="shared" si="4"/>
        <v>2359.44</v>
      </c>
      <c r="T48" s="29" t="s">
        <v>122</v>
      </c>
      <c r="U48" s="19"/>
    </row>
    <row r="49" ht="22.5" customHeight="1">
      <c r="A49" s="4" t="s">
        <v>21</v>
      </c>
      <c r="B49" s="5" t="s">
        <v>120</v>
      </c>
      <c r="C49" s="5" t="s">
        <v>43</v>
      </c>
      <c r="D49" s="6" t="s">
        <v>123</v>
      </c>
      <c r="F49" s="16"/>
      <c r="G49" s="8" t="b">
        <v>0</v>
      </c>
      <c r="H49" s="8" t="b">
        <v>0</v>
      </c>
      <c r="I49" s="9">
        <v>1.0</v>
      </c>
      <c r="J49" s="18" t="s">
        <v>45</v>
      </c>
      <c r="K49" s="11" t="s">
        <v>29</v>
      </c>
      <c r="L49" s="9">
        <v>1.0</v>
      </c>
      <c r="M49" s="28">
        <v>300.0</v>
      </c>
      <c r="N49" s="13">
        <f t="shared" si="1"/>
        <v>300</v>
      </c>
      <c r="O49" s="15" t="s">
        <v>28</v>
      </c>
      <c r="P49" s="13">
        <v>60.0</v>
      </c>
      <c r="Q49" s="13">
        <f t="shared" si="2"/>
        <v>360</v>
      </c>
      <c r="R49" s="13">
        <f t="shared" si="3"/>
        <v>46.8</v>
      </c>
      <c r="S49" s="13">
        <f t="shared" si="4"/>
        <v>406.8</v>
      </c>
      <c r="T49" s="29" t="s">
        <v>122</v>
      </c>
      <c r="U49" s="6"/>
    </row>
    <row r="50" ht="22.5" customHeight="1">
      <c r="A50" s="4" t="s">
        <v>21</v>
      </c>
      <c r="B50" s="5" t="s">
        <v>120</v>
      </c>
      <c r="C50" s="5" t="s">
        <v>124</v>
      </c>
      <c r="D50" s="6" t="s">
        <v>125</v>
      </c>
      <c r="F50" s="16"/>
      <c r="G50" s="8" t="b">
        <v>0</v>
      </c>
      <c r="H50" s="8" t="b">
        <v>0</v>
      </c>
      <c r="I50" s="9">
        <v>8.0</v>
      </c>
      <c r="J50" s="18" t="s">
        <v>45</v>
      </c>
      <c r="K50" s="11" t="s">
        <v>28</v>
      </c>
      <c r="L50" s="9">
        <v>2.0</v>
      </c>
      <c r="M50" s="28">
        <v>30.0</v>
      </c>
      <c r="N50" s="13">
        <f t="shared" si="1"/>
        <v>480</v>
      </c>
      <c r="O50" s="14" t="s">
        <v>28</v>
      </c>
      <c r="P50" s="13">
        <v>96.0</v>
      </c>
      <c r="Q50" s="13">
        <f t="shared" si="2"/>
        <v>576</v>
      </c>
      <c r="R50" s="13">
        <f t="shared" si="3"/>
        <v>74.88</v>
      </c>
      <c r="S50" s="13">
        <f t="shared" si="4"/>
        <v>650.88</v>
      </c>
      <c r="T50" s="29" t="s">
        <v>122</v>
      </c>
      <c r="U50" s="29"/>
    </row>
    <row r="51" ht="22.5" customHeight="1">
      <c r="A51" s="4" t="s">
        <v>21</v>
      </c>
      <c r="B51" s="5" t="s">
        <v>120</v>
      </c>
      <c r="C51" s="5" t="s">
        <v>43</v>
      </c>
      <c r="D51" s="6" t="s">
        <v>126</v>
      </c>
      <c r="F51" s="16"/>
      <c r="G51" s="8" t="b">
        <v>0</v>
      </c>
      <c r="H51" s="8" t="b">
        <v>0</v>
      </c>
      <c r="I51" s="9">
        <v>1.0</v>
      </c>
      <c r="J51" s="18" t="s">
        <v>45</v>
      </c>
      <c r="K51" s="11" t="s">
        <v>29</v>
      </c>
      <c r="L51" s="9">
        <v>1.0</v>
      </c>
      <c r="M51" s="28">
        <v>750.0</v>
      </c>
      <c r="N51" s="13">
        <f t="shared" si="1"/>
        <v>750</v>
      </c>
      <c r="O51" s="15" t="s">
        <v>28</v>
      </c>
      <c r="P51" s="13">
        <v>150.0</v>
      </c>
      <c r="Q51" s="13">
        <f t="shared" si="2"/>
        <v>900</v>
      </c>
      <c r="R51" s="13">
        <f t="shared" si="3"/>
        <v>117</v>
      </c>
      <c r="S51" s="13">
        <f t="shared" si="4"/>
        <v>1017</v>
      </c>
      <c r="T51" s="30" t="s">
        <v>127</v>
      </c>
      <c r="U51" s="29"/>
    </row>
    <row r="52" ht="22.5" customHeight="1">
      <c r="A52" s="4" t="s">
        <v>21</v>
      </c>
      <c r="B52" s="5" t="s">
        <v>120</v>
      </c>
      <c r="C52" s="5" t="s">
        <v>43</v>
      </c>
      <c r="D52" s="6" t="s">
        <v>128</v>
      </c>
      <c r="F52" s="16"/>
      <c r="G52" s="8" t="b">
        <v>0</v>
      </c>
      <c r="H52" s="8" t="b">
        <v>0</v>
      </c>
      <c r="I52" s="9">
        <v>2.0</v>
      </c>
      <c r="J52" s="18" t="s">
        <v>45</v>
      </c>
      <c r="K52" s="11" t="s">
        <v>28</v>
      </c>
      <c r="L52" s="9">
        <v>2.0</v>
      </c>
      <c r="M52" s="12">
        <v>0.0</v>
      </c>
      <c r="N52" s="13">
        <f t="shared" si="1"/>
        <v>0</v>
      </c>
      <c r="O52" s="14" t="s">
        <v>29</v>
      </c>
      <c r="P52" s="13">
        <v>0.0</v>
      </c>
      <c r="Q52" s="13">
        <f t="shared" si="2"/>
        <v>0</v>
      </c>
      <c r="R52" s="13">
        <f t="shared" si="3"/>
        <v>0</v>
      </c>
      <c r="S52" s="13">
        <f t="shared" si="4"/>
        <v>0</v>
      </c>
      <c r="T52" s="10" t="s">
        <v>58</v>
      </c>
      <c r="U52" s="29"/>
    </row>
    <row r="53" ht="22.5" customHeight="1">
      <c r="A53" s="4" t="s">
        <v>21</v>
      </c>
      <c r="B53" s="5" t="s">
        <v>120</v>
      </c>
      <c r="C53" s="5" t="s">
        <v>43</v>
      </c>
      <c r="D53" s="6" t="s">
        <v>129</v>
      </c>
      <c r="F53" s="16"/>
      <c r="G53" s="8" t="b">
        <v>0</v>
      </c>
      <c r="H53" s="8" t="b">
        <v>0</v>
      </c>
      <c r="I53" s="9">
        <v>7.0</v>
      </c>
      <c r="J53" s="18" t="s">
        <v>45</v>
      </c>
      <c r="K53" s="11" t="s">
        <v>29</v>
      </c>
      <c r="L53" s="9">
        <v>1.0</v>
      </c>
      <c r="M53" s="12">
        <v>30.0</v>
      </c>
      <c r="N53" s="13">
        <f t="shared" si="1"/>
        <v>210</v>
      </c>
      <c r="O53" s="23" t="s">
        <v>28</v>
      </c>
      <c r="P53" s="13">
        <v>42.0</v>
      </c>
      <c r="Q53" s="13">
        <f t="shared" si="2"/>
        <v>252</v>
      </c>
      <c r="R53" s="13">
        <f t="shared" si="3"/>
        <v>32.76</v>
      </c>
      <c r="S53" s="13">
        <f t="shared" si="4"/>
        <v>284.76</v>
      </c>
      <c r="T53" s="10" t="s">
        <v>41</v>
      </c>
      <c r="U53" s="19"/>
    </row>
    <row r="54" ht="22.5" customHeight="1">
      <c r="A54" s="4" t="s">
        <v>21</v>
      </c>
      <c r="B54" s="5" t="s">
        <v>120</v>
      </c>
      <c r="C54" s="5" t="s">
        <v>43</v>
      </c>
      <c r="D54" s="6" t="s">
        <v>130</v>
      </c>
      <c r="F54" s="16"/>
      <c r="G54" s="8" t="b">
        <v>0</v>
      </c>
      <c r="H54" s="8" t="b">
        <v>0</v>
      </c>
      <c r="I54" s="9">
        <v>3.0</v>
      </c>
      <c r="J54" s="18" t="s">
        <v>45</v>
      </c>
      <c r="K54" s="11" t="s">
        <v>28</v>
      </c>
      <c r="L54" s="9">
        <v>2.0</v>
      </c>
      <c r="M54" s="12">
        <v>25.0</v>
      </c>
      <c r="N54" s="13">
        <f t="shared" si="1"/>
        <v>150</v>
      </c>
      <c r="O54" s="14" t="s">
        <v>28</v>
      </c>
      <c r="P54" s="13">
        <v>30.0</v>
      </c>
      <c r="Q54" s="13">
        <f t="shared" si="2"/>
        <v>180</v>
      </c>
      <c r="R54" s="13">
        <f t="shared" si="3"/>
        <v>23.4</v>
      </c>
      <c r="S54" s="13">
        <f t="shared" si="4"/>
        <v>203.4</v>
      </c>
      <c r="T54" s="27" t="s">
        <v>131</v>
      </c>
      <c r="U54" s="6"/>
    </row>
    <row r="55" ht="22.5" customHeight="1">
      <c r="A55" s="4" t="s">
        <v>21</v>
      </c>
      <c r="B55" s="5" t="s">
        <v>120</v>
      </c>
      <c r="C55" s="5" t="s">
        <v>43</v>
      </c>
      <c r="D55" s="6" t="s">
        <v>132</v>
      </c>
      <c r="F55" s="16"/>
      <c r="G55" s="8" t="b">
        <v>0</v>
      </c>
      <c r="H55" s="8" t="b">
        <v>0</v>
      </c>
      <c r="I55" s="9">
        <v>1.0</v>
      </c>
      <c r="J55" s="18" t="s">
        <v>45</v>
      </c>
      <c r="K55" s="11" t="s">
        <v>28</v>
      </c>
      <c r="L55" s="9">
        <v>2.0</v>
      </c>
      <c r="M55" s="12">
        <v>15.0</v>
      </c>
      <c r="N55" s="13">
        <f t="shared" si="1"/>
        <v>30</v>
      </c>
      <c r="O55" s="15" t="s">
        <v>28</v>
      </c>
      <c r="P55" s="13">
        <v>6.0</v>
      </c>
      <c r="Q55" s="13">
        <f t="shared" si="2"/>
        <v>36</v>
      </c>
      <c r="R55" s="13">
        <f t="shared" si="3"/>
        <v>4.68</v>
      </c>
      <c r="S55" s="13">
        <f t="shared" si="4"/>
        <v>40.68</v>
      </c>
      <c r="T55" s="27" t="s">
        <v>131</v>
      </c>
      <c r="U55" s="6"/>
    </row>
    <row r="56" ht="22.5" customHeight="1">
      <c r="A56" s="4" t="s">
        <v>21</v>
      </c>
      <c r="B56" s="5" t="s">
        <v>120</v>
      </c>
      <c r="C56" s="5" t="s">
        <v>43</v>
      </c>
      <c r="D56" s="6" t="s">
        <v>133</v>
      </c>
      <c r="F56" s="16"/>
      <c r="G56" s="8" t="b">
        <v>0</v>
      </c>
      <c r="H56" s="8" t="b">
        <v>0</v>
      </c>
      <c r="I56" s="9">
        <v>1.0</v>
      </c>
      <c r="J56" s="18" t="s">
        <v>45</v>
      </c>
      <c r="K56" s="11" t="s">
        <v>28</v>
      </c>
      <c r="L56" s="9">
        <v>2.0</v>
      </c>
      <c r="M56" s="12">
        <v>0.0</v>
      </c>
      <c r="N56" s="13">
        <f t="shared" si="1"/>
        <v>0</v>
      </c>
      <c r="O56" s="14" t="s">
        <v>29</v>
      </c>
      <c r="P56" s="13">
        <v>0.0</v>
      </c>
      <c r="Q56" s="13">
        <f t="shared" si="2"/>
        <v>0</v>
      </c>
      <c r="R56" s="13">
        <f t="shared" si="3"/>
        <v>0</v>
      </c>
      <c r="S56" s="13">
        <f t="shared" si="4"/>
        <v>0</v>
      </c>
      <c r="T56" s="10" t="s">
        <v>58</v>
      </c>
      <c r="U56" s="19"/>
    </row>
    <row r="57" ht="22.5" customHeight="1">
      <c r="A57" s="4" t="s">
        <v>21</v>
      </c>
      <c r="B57" s="5" t="s">
        <v>120</v>
      </c>
      <c r="C57" s="5" t="s">
        <v>43</v>
      </c>
      <c r="D57" s="6" t="s">
        <v>134</v>
      </c>
      <c r="F57" s="16"/>
      <c r="G57" s="8" t="b">
        <v>0</v>
      </c>
      <c r="H57" s="8" t="b">
        <v>0</v>
      </c>
      <c r="I57" s="9">
        <v>1.0</v>
      </c>
      <c r="J57" s="18" t="s">
        <v>45</v>
      </c>
      <c r="K57" s="11" t="s">
        <v>29</v>
      </c>
      <c r="L57" s="9">
        <v>1.0</v>
      </c>
      <c r="M57" s="12">
        <v>6.64</v>
      </c>
      <c r="N57" s="13">
        <f t="shared" si="1"/>
        <v>6.64</v>
      </c>
      <c r="O57" s="15" t="s">
        <v>28</v>
      </c>
      <c r="P57" s="13">
        <v>1.328</v>
      </c>
      <c r="Q57" s="13">
        <f t="shared" si="2"/>
        <v>7.968</v>
      </c>
      <c r="R57" s="13">
        <f t="shared" si="3"/>
        <v>1.03584</v>
      </c>
      <c r="S57" s="13">
        <f t="shared" si="4"/>
        <v>9.00384</v>
      </c>
      <c r="T57" s="26" t="s">
        <v>98</v>
      </c>
      <c r="U57" s="19"/>
    </row>
    <row r="58" ht="22.5" customHeight="1">
      <c r="A58" s="4" t="s">
        <v>21</v>
      </c>
      <c r="B58" s="5" t="s">
        <v>120</v>
      </c>
      <c r="C58" s="5" t="s">
        <v>52</v>
      </c>
      <c r="D58" s="21" t="s">
        <v>135</v>
      </c>
      <c r="E58" s="10" t="s">
        <v>117</v>
      </c>
      <c r="F58" s="16"/>
      <c r="G58" s="8" t="b">
        <v>0</v>
      </c>
      <c r="H58" s="8" t="b">
        <v>0</v>
      </c>
      <c r="I58" s="9">
        <v>5.0</v>
      </c>
      <c r="J58" s="10" t="s">
        <v>45</v>
      </c>
      <c r="K58" s="11" t="s">
        <v>28</v>
      </c>
      <c r="L58" s="9">
        <v>2.0</v>
      </c>
      <c r="M58" s="12">
        <v>0.0</v>
      </c>
      <c r="N58" s="13">
        <f t="shared" si="1"/>
        <v>0</v>
      </c>
      <c r="O58" s="14" t="s">
        <v>29</v>
      </c>
      <c r="P58" s="13">
        <v>0.0</v>
      </c>
      <c r="Q58" s="13">
        <f t="shared" si="2"/>
        <v>0</v>
      </c>
      <c r="R58" s="13">
        <f t="shared" si="3"/>
        <v>0</v>
      </c>
      <c r="S58" s="13">
        <f t="shared" si="4"/>
        <v>0</v>
      </c>
      <c r="T58" s="10" t="s">
        <v>58</v>
      </c>
      <c r="U58" s="6"/>
    </row>
    <row r="59" ht="22.5" customHeight="1">
      <c r="A59" s="4" t="s">
        <v>21</v>
      </c>
      <c r="B59" s="5" t="s">
        <v>120</v>
      </c>
      <c r="C59" s="5" t="s">
        <v>52</v>
      </c>
      <c r="D59" s="6" t="s">
        <v>136</v>
      </c>
      <c r="E59" s="10" t="s">
        <v>117</v>
      </c>
      <c r="F59" s="16"/>
      <c r="G59" s="8" t="b">
        <v>1</v>
      </c>
      <c r="H59" s="8" t="b">
        <v>0</v>
      </c>
      <c r="I59" s="9">
        <v>154.0</v>
      </c>
      <c r="J59" s="10" t="s">
        <v>45</v>
      </c>
      <c r="K59" s="11" t="s">
        <v>28</v>
      </c>
      <c r="L59" s="9">
        <v>2.0</v>
      </c>
      <c r="M59" s="12">
        <v>0.0</v>
      </c>
      <c r="N59" s="13">
        <f t="shared" si="1"/>
        <v>0</v>
      </c>
      <c r="O59" s="15" t="s">
        <v>29</v>
      </c>
      <c r="P59" s="13">
        <v>0.0</v>
      </c>
      <c r="Q59" s="13">
        <f t="shared" si="2"/>
        <v>0</v>
      </c>
      <c r="R59" s="13">
        <f t="shared" si="3"/>
        <v>0</v>
      </c>
      <c r="S59" s="13">
        <f t="shared" si="4"/>
        <v>0</v>
      </c>
      <c r="T59" s="10" t="s">
        <v>58</v>
      </c>
      <c r="U59" s="19"/>
    </row>
    <row r="60" ht="22.5" customHeight="1">
      <c r="A60" s="4" t="s">
        <v>21</v>
      </c>
      <c r="B60" s="5" t="s">
        <v>120</v>
      </c>
      <c r="C60" s="5" t="s">
        <v>52</v>
      </c>
      <c r="D60" s="6" t="s">
        <v>137</v>
      </c>
      <c r="F60" s="16"/>
      <c r="G60" s="8" t="b">
        <v>1</v>
      </c>
      <c r="H60" s="8" t="b">
        <v>0</v>
      </c>
      <c r="I60" s="9">
        <v>168.0</v>
      </c>
      <c r="J60" s="10" t="s">
        <v>45</v>
      </c>
      <c r="K60" s="11" t="s">
        <v>28</v>
      </c>
      <c r="L60" s="9">
        <v>2.0</v>
      </c>
      <c r="M60" s="12">
        <v>0.0</v>
      </c>
      <c r="N60" s="13">
        <f t="shared" si="1"/>
        <v>0</v>
      </c>
      <c r="O60" s="14" t="s">
        <v>29</v>
      </c>
      <c r="P60" s="13">
        <v>0.0</v>
      </c>
      <c r="Q60" s="13">
        <f t="shared" si="2"/>
        <v>0</v>
      </c>
      <c r="R60" s="13">
        <f t="shared" si="3"/>
        <v>0</v>
      </c>
      <c r="S60" s="13">
        <f t="shared" si="4"/>
        <v>0</v>
      </c>
      <c r="T60" s="10" t="s">
        <v>58</v>
      </c>
      <c r="U60" s="6"/>
    </row>
    <row r="61" ht="22.5" customHeight="1">
      <c r="A61" s="4" t="s">
        <v>21</v>
      </c>
      <c r="B61" s="5" t="s">
        <v>120</v>
      </c>
      <c r="C61" s="5" t="s">
        <v>43</v>
      </c>
      <c r="D61" s="6" t="s">
        <v>138</v>
      </c>
      <c r="F61" s="16"/>
      <c r="G61" s="8" t="b">
        <v>0</v>
      </c>
      <c r="H61" s="8" t="b">
        <v>0</v>
      </c>
      <c r="I61" s="9">
        <v>2.0</v>
      </c>
      <c r="J61" s="10" t="s">
        <v>139</v>
      </c>
      <c r="K61" s="11" t="s">
        <v>28</v>
      </c>
      <c r="L61" s="9">
        <v>2.0</v>
      </c>
      <c r="M61" s="12">
        <v>60.0</v>
      </c>
      <c r="N61" s="13">
        <f t="shared" si="1"/>
        <v>240</v>
      </c>
      <c r="O61" s="15" t="s">
        <v>28</v>
      </c>
      <c r="P61" s="13">
        <v>48.0</v>
      </c>
      <c r="Q61" s="13">
        <f t="shared" si="2"/>
        <v>288</v>
      </c>
      <c r="R61" s="13">
        <f t="shared" si="3"/>
        <v>37.44</v>
      </c>
      <c r="S61" s="13">
        <f t="shared" si="4"/>
        <v>325.44</v>
      </c>
      <c r="T61" s="20" t="s">
        <v>54</v>
      </c>
      <c r="U61" s="6"/>
    </row>
    <row r="62" ht="22.5" customHeight="1">
      <c r="A62" s="4" t="s">
        <v>21</v>
      </c>
      <c r="B62" s="5" t="s">
        <v>120</v>
      </c>
      <c r="C62" s="5" t="s">
        <v>43</v>
      </c>
      <c r="D62" s="21" t="s">
        <v>140</v>
      </c>
      <c r="F62" s="16"/>
      <c r="G62" s="8" t="b">
        <v>0</v>
      </c>
      <c r="H62" s="8" t="b">
        <v>0</v>
      </c>
      <c r="I62" s="9">
        <v>2.0</v>
      </c>
      <c r="J62" s="10" t="s">
        <v>45</v>
      </c>
      <c r="K62" s="11" t="s">
        <v>28</v>
      </c>
      <c r="L62" s="9">
        <v>2.0</v>
      </c>
      <c r="M62" s="28">
        <v>50.0</v>
      </c>
      <c r="N62" s="13">
        <f t="shared" si="1"/>
        <v>200</v>
      </c>
      <c r="O62" s="14" t="s">
        <v>28</v>
      </c>
      <c r="P62" s="13">
        <v>40.0</v>
      </c>
      <c r="Q62" s="13">
        <f t="shared" si="2"/>
        <v>240</v>
      </c>
      <c r="R62" s="13">
        <f t="shared" si="3"/>
        <v>31.2</v>
      </c>
      <c r="S62" s="13">
        <f t="shared" si="4"/>
        <v>271.2</v>
      </c>
      <c r="T62" s="29" t="s">
        <v>122</v>
      </c>
      <c r="U62" s="6"/>
    </row>
    <row r="63" ht="22.5" customHeight="1">
      <c r="A63" s="4" t="s">
        <v>21</v>
      </c>
      <c r="B63" s="5" t="s">
        <v>120</v>
      </c>
      <c r="C63" s="5" t="s">
        <v>124</v>
      </c>
      <c r="D63" s="6" t="s">
        <v>141</v>
      </c>
      <c r="F63" s="16"/>
      <c r="G63" s="8" t="b">
        <v>0</v>
      </c>
      <c r="H63" s="8" t="b">
        <v>0</v>
      </c>
      <c r="I63" s="9">
        <v>1.0</v>
      </c>
      <c r="J63" s="10" t="s">
        <v>45</v>
      </c>
      <c r="K63" s="11" t="s">
        <v>28</v>
      </c>
      <c r="L63" s="9">
        <v>2.0</v>
      </c>
      <c r="M63" s="28">
        <v>900.0</v>
      </c>
      <c r="N63" s="13">
        <f t="shared" si="1"/>
        <v>1800</v>
      </c>
      <c r="O63" s="15" t="s">
        <v>28</v>
      </c>
      <c r="P63" s="13">
        <v>360.0</v>
      </c>
      <c r="Q63" s="13">
        <f t="shared" si="2"/>
        <v>2160</v>
      </c>
      <c r="R63" s="13">
        <f t="shared" si="3"/>
        <v>280.8</v>
      </c>
      <c r="S63" s="13">
        <f t="shared" si="4"/>
        <v>2440.8</v>
      </c>
      <c r="T63" s="29" t="s">
        <v>122</v>
      </c>
      <c r="U63" s="19"/>
    </row>
    <row r="64" ht="22.5" customHeight="1">
      <c r="A64" s="4" t="s">
        <v>21</v>
      </c>
      <c r="B64" s="5" t="s">
        <v>120</v>
      </c>
      <c r="C64" s="5" t="s">
        <v>142</v>
      </c>
      <c r="D64" s="6" t="s">
        <v>143</v>
      </c>
      <c r="F64" s="16"/>
      <c r="G64" s="8" t="b">
        <v>0</v>
      </c>
      <c r="H64" s="8" t="b">
        <v>0</v>
      </c>
      <c r="I64" s="9">
        <v>1.0</v>
      </c>
      <c r="J64" s="10" t="s">
        <v>139</v>
      </c>
      <c r="K64" s="11" t="s">
        <v>29</v>
      </c>
      <c r="L64" s="9">
        <v>1.0</v>
      </c>
      <c r="M64" s="28">
        <v>500.0</v>
      </c>
      <c r="N64" s="13">
        <f t="shared" si="1"/>
        <v>500</v>
      </c>
      <c r="O64" s="14" t="s">
        <v>28</v>
      </c>
      <c r="P64" s="13">
        <v>100.0</v>
      </c>
      <c r="Q64" s="13">
        <f t="shared" si="2"/>
        <v>600</v>
      </c>
      <c r="R64" s="13">
        <f t="shared" si="3"/>
        <v>78</v>
      </c>
      <c r="S64" s="13">
        <f t="shared" si="4"/>
        <v>678</v>
      </c>
      <c r="T64" s="29" t="s">
        <v>122</v>
      </c>
      <c r="U64" s="29"/>
    </row>
    <row r="65" ht="22.5" customHeight="1">
      <c r="A65" s="4" t="s">
        <v>21</v>
      </c>
      <c r="B65" s="5" t="s">
        <v>120</v>
      </c>
      <c r="C65" s="5" t="s">
        <v>142</v>
      </c>
      <c r="D65" s="6" t="s">
        <v>144</v>
      </c>
      <c r="F65" s="16"/>
      <c r="G65" s="8" t="b">
        <v>0</v>
      </c>
      <c r="H65" s="8" t="b">
        <v>0</v>
      </c>
      <c r="I65" s="9">
        <v>2.0</v>
      </c>
      <c r="J65" s="10" t="s">
        <v>45</v>
      </c>
      <c r="K65" s="11" t="s">
        <v>28</v>
      </c>
      <c r="L65" s="9">
        <v>2.0</v>
      </c>
      <c r="M65" s="28">
        <v>80.0</v>
      </c>
      <c r="N65" s="13">
        <f t="shared" si="1"/>
        <v>320</v>
      </c>
      <c r="O65" s="15" t="s">
        <v>28</v>
      </c>
      <c r="P65" s="13">
        <v>64.0</v>
      </c>
      <c r="Q65" s="13">
        <f t="shared" si="2"/>
        <v>384</v>
      </c>
      <c r="R65" s="13">
        <f t="shared" si="3"/>
        <v>49.92</v>
      </c>
      <c r="S65" s="13">
        <f t="shared" si="4"/>
        <v>433.92</v>
      </c>
      <c r="T65" s="29" t="s">
        <v>122</v>
      </c>
      <c r="U65" s="29"/>
    </row>
    <row r="66" ht="22.5" customHeight="1">
      <c r="A66" s="4" t="s">
        <v>21</v>
      </c>
      <c r="B66" s="5" t="s">
        <v>120</v>
      </c>
      <c r="C66" s="5" t="s">
        <v>52</v>
      </c>
      <c r="D66" s="21" t="s">
        <v>145</v>
      </c>
      <c r="F66" s="16"/>
      <c r="G66" s="8" t="b">
        <v>0</v>
      </c>
      <c r="H66" s="8" t="b">
        <v>0</v>
      </c>
      <c r="I66" s="9">
        <v>5.0</v>
      </c>
      <c r="J66" s="10" t="s">
        <v>45</v>
      </c>
      <c r="K66" s="11" t="s">
        <v>28</v>
      </c>
      <c r="L66" s="9">
        <v>2.0</v>
      </c>
      <c r="M66" s="12">
        <v>0.0</v>
      </c>
      <c r="N66" s="13">
        <f t="shared" si="1"/>
        <v>0</v>
      </c>
      <c r="O66" s="14" t="s">
        <v>28</v>
      </c>
      <c r="P66" s="13">
        <v>0.0</v>
      </c>
      <c r="Q66" s="13">
        <f t="shared" si="2"/>
        <v>0</v>
      </c>
      <c r="R66" s="13">
        <f t="shared" si="3"/>
        <v>0</v>
      </c>
      <c r="S66" s="13">
        <f t="shared" si="4"/>
        <v>0</v>
      </c>
      <c r="T66" s="10" t="s">
        <v>58</v>
      </c>
      <c r="U66" s="29"/>
    </row>
    <row r="67" ht="22.5" customHeight="1">
      <c r="A67" s="4" t="s">
        <v>21</v>
      </c>
      <c r="B67" s="5" t="s">
        <v>120</v>
      </c>
      <c r="C67" s="5" t="s">
        <v>59</v>
      </c>
      <c r="D67" s="21" t="s">
        <v>146</v>
      </c>
      <c r="F67" s="7" t="s">
        <v>61</v>
      </c>
      <c r="G67" s="8" t="b">
        <v>0</v>
      </c>
      <c r="H67" s="8" t="b">
        <v>0</v>
      </c>
      <c r="I67" s="9">
        <v>5.0</v>
      </c>
      <c r="J67" s="10" t="s">
        <v>45</v>
      </c>
      <c r="K67" s="11" t="s">
        <v>28</v>
      </c>
      <c r="L67" s="9">
        <v>2.0</v>
      </c>
      <c r="M67" s="12">
        <v>3.0</v>
      </c>
      <c r="N67" s="13">
        <f t="shared" si="1"/>
        <v>30</v>
      </c>
      <c r="O67" s="23" t="s">
        <v>28</v>
      </c>
      <c r="P67" s="13">
        <v>6.0</v>
      </c>
      <c r="Q67" s="13">
        <f t="shared" si="2"/>
        <v>36</v>
      </c>
      <c r="R67" s="13">
        <f t="shared" si="3"/>
        <v>4.68</v>
      </c>
      <c r="S67" s="13">
        <f t="shared" si="4"/>
        <v>40.68</v>
      </c>
      <c r="T67" s="20" t="s">
        <v>62</v>
      </c>
      <c r="U67" s="29"/>
    </row>
    <row r="68" ht="22.5" customHeight="1">
      <c r="A68" s="4" t="s">
        <v>21</v>
      </c>
      <c r="B68" s="5" t="s">
        <v>120</v>
      </c>
      <c r="C68" s="5" t="s">
        <v>52</v>
      </c>
      <c r="D68" s="6" t="s">
        <v>147</v>
      </c>
      <c r="F68" s="16"/>
      <c r="G68" s="8" t="b">
        <v>0</v>
      </c>
      <c r="H68" s="8" t="b">
        <v>0</v>
      </c>
      <c r="I68" s="9">
        <v>10.0</v>
      </c>
      <c r="J68" s="10" t="s">
        <v>45</v>
      </c>
      <c r="K68" s="11" t="s">
        <v>28</v>
      </c>
      <c r="L68" s="9">
        <v>2.0</v>
      </c>
      <c r="M68" s="12">
        <v>0.0</v>
      </c>
      <c r="N68" s="13">
        <f t="shared" si="1"/>
        <v>0</v>
      </c>
      <c r="O68" s="14" t="s">
        <v>29</v>
      </c>
      <c r="P68" s="13">
        <v>0.0</v>
      </c>
      <c r="Q68" s="13">
        <f t="shared" si="2"/>
        <v>0</v>
      </c>
      <c r="R68" s="13">
        <f t="shared" si="3"/>
        <v>0</v>
      </c>
      <c r="S68" s="13">
        <f t="shared" si="4"/>
        <v>0</v>
      </c>
      <c r="T68" s="10" t="s">
        <v>58</v>
      </c>
      <c r="U68" s="19"/>
    </row>
    <row r="69" ht="22.5" customHeight="1">
      <c r="A69" s="4" t="s">
        <v>21</v>
      </c>
      <c r="B69" s="5" t="s">
        <v>120</v>
      </c>
      <c r="C69" s="5" t="s">
        <v>148</v>
      </c>
      <c r="D69" s="6" t="s">
        <v>149</v>
      </c>
      <c r="F69" s="16"/>
      <c r="G69" s="8" t="b">
        <v>0</v>
      </c>
      <c r="H69" s="8" t="b">
        <v>0</v>
      </c>
      <c r="I69" s="9">
        <v>6.0</v>
      </c>
      <c r="J69" s="10" t="s">
        <v>45</v>
      </c>
      <c r="K69" s="11" t="s">
        <v>29</v>
      </c>
      <c r="L69" s="9">
        <v>1.0</v>
      </c>
      <c r="M69" s="28">
        <v>800.0</v>
      </c>
      <c r="N69" s="13">
        <f t="shared" si="1"/>
        <v>4800</v>
      </c>
      <c r="O69" s="31" t="s">
        <v>29</v>
      </c>
      <c r="P69" s="13">
        <v>0.0</v>
      </c>
      <c r="Q69" s="13">
        <f t="shared" si="2"/>
        <v>4800</v>
      </c>
      <c r="R69" s="13">
        <f t="shared" si="3"/>
        <v>624</v>
      </c>
      <c r="S69" s="13">
        <f t="shared" si="4"/>
        <v>5424</v>
      </c>
      <c r="T69" s="29" t="s">
        <v>150</v>
      </c>
    </row>
    <row r="70" ht="22.5" customHeight="1">
      <c r="A70" s="4" t="s">
        <v>21</v>
      </c>
      <c r="B70" s="5" t="s">
        <v>120</v>
      </c>
      <c r="C70" s="5" t="s">
        <v>148</v>
      </c>
      <c r="D70" s="6" t="s">
        <v>151</v>
      </c>
      <c r="F70" s="16"/>
      <c r="G70" s="8" t="b">
        <v>0</v>
      </c>
      <c r="H70" s="8" t="b">
        <v>0</v>
      </c>
      <c r="I70" s="9">
        <v>2.0</v>
      </c>
      <c r="J70" s="10" t="s">
        <v>45</v>
      </c>
      <c r="K70" s="11" t="s">
        <v>29</v>
      </c>
      <c r="L70" s="9">
        <v>1.0</v>
      </c>
      <c r="M70" s="28">
        <v>600.0</v>
      </c>
      <c r="N70" s="13">
        <f t="shared" si="1"/>
        <v>1200</v>
      </c>
      <c r="O70" s="32" t="s">
        <v>29</v>
      </c>
      <c r="P70" s="13">
        <v>0.0</v>
      </c>
      <c r="Q70" s="13">
        <f t="shared" si="2"/>
        <v>1200</v>
      </c>
      <c r="R70" s="13">
        <f t="shared" si="3"/>
        <v>156</v>
      </c>
      <c r="S70" s="13">
        <f t="shared" si="4"/>
        <v>1356</v>
      </c>
      <c r="T70" s="29" t="s">
        <v>150</v>
      </c>
    </row>
    <row r="71" ht="22.5" customHeight="1">
      <c r="A71" s="4" t="s">
        <v>21</v>
      </c>
      <c r="B71" s="5" t="s">
        <v>120</v>
      </c>
      <c r="C71" s="5" t="s">
        <v>148</v>
      </c>
      <c r="D71" s="6" t="s">
        <v>152</v>
      </c>
      <c r="F71" s="16"/>
      <c r="G71" s="8" t="b">
        <v>0</v>
      </c>
      <c r="H71" s="8" t="b">
        <v>0</v>
      </c>
      <c r="I71" s="9">
        <v>1.0</v>
      </c>
      <c r="J71" s="10" t="s">
        <v>45</v>
      </c>
      <c r="K71" s="11" t="s">
        <v>29</v>
      </c>
      <c r="L71" s="9">
        <v>1.0</v>
      </c>
      <c r="M71" s="28">
        <v>1600.0</v>
      </c>
      <c r="N71" s="13">
        <f t="shared" si="1"/>
        <v>1600</v>
      </c>
      <c r="O71" s="31" t="s">
        <v>29</v>
      </c>
      <c r="P71" s="13">
        <v>0.0</v>
      </c>
      <c r="Q71" s="13">
        <f t="shared" si="2"/>
        <v>1600</v>
      </c>
      <c r="R71" s="13">
        <f t="shared" si="3"/>
        <v>208</v>
      </c>
      <c r="S71" s="13">
        <f t="shared" si="4"/>
        <v>1808</v>
      </c>
      <c r="T71" s="29" t="s">
        <v>150</v>
      </c>
    </row>
    <row r="72" ht="22.5" customHeight="1">
      <c r="A72" s="4" t="s">
        <v>21</v>
      </c>
      <c r="B72" s="5" t="s">
        <v>120</v>
      </c>
      <c r="C72" s="5" t="s">
        <v>148</v>
      </c>
      <c r="D72" s="6" t="s">
        <v>153</v>
      </c>
      <c r="F72" s="16"/>
      <c r="G72" s="8" t="b">
        <v>0</v>
      </c>
      <c r="H72" s="8" t="b">
        <v>0</v>
      </c>
      <c r="I72" s="9">
        <v>1.0</v>
      </c>
      <c r="J72" s="10" t="s">
        <v>45</v>
      </c>
      <c r="K72" s="11" t="s">
        <v>29</v>
      </c>
      <c r="L72" s="9">
        <v>1.0</v>
      </c>
      <c r="M72" s="28">
        <v>1300.0</v>
      </c>
      <c r="N72" s="13">
        <f t="shared" si="1"/>
        <v>1300</v>
      </c>
      <c r="O72" s="32" t="s">
        <v>29</v>
      </c>
      <c r="P72" s="13">
        <v>0.0</v>
      </c>
      <c r="Q72" s="13">
        <f t="shared" si="2"/>
        <v>1300</v>
      </c>
      <c r="R72" s="13">
        <f t="shared" si="3"/>
        <v>169</v>
      </c>
      <c r="S72" s="13">
        <f t="shared" si="4"/>
        <v>1469</v>
      </c>
      <c r="T72" s="29" t="s">
        <v>150</v>
      </c>
    </row>
    <row r="73" ht="22.5" customHeight="1">
      <c r="A73" s="4" t="s">
        <v>21</v>
      </c>
      <c r="B73" s="5" t="s">
        <v>120</v>
      </c>
      <c r="C73" s="5" t="s">
        <v>148</v>
      </c>
      <c r="D73" s="6" t="s">
        <v>154</v>
      </c>
      <c r="F73" s="16"/>
      <c r="G73" s="8" t="b">
        <v>0</v>
      </c>
      <c r="H73" s="8" t="b">
        <v>0</v>
      </c>
      <c r="I73" s="9">
        <v>1.0</v>
      </c>
      <c r="J73" s="10" t="s">
        <v>45</v>
      </c>
      <c r="K73" s="11" t="s">
        <v>29</v>
      </c>
      <c r="L73" s="9">
        <v>1.0</v>
      </c>
      <c r="M73" s="28">
        <v>2200.0</v>
      </c>
      <c r="N73" s="13">
        <f t="shared" si="1"/>
        <v>2200</v>
      </c>
      <c r="O73" s="31" t="s">
        <v>29</v>
      </c>
      <c r="P73" s="13">
        <v>0.0</v>
      </c>
      <c r="Q73" s="13">
        <f t="shared" si="2"/>
        <v>2200</v>
      </c>
      <c r="R73" s="13">
        <f t="shared" si="3"/>
        <v>286</v>
      </c>
      <c r="S73" s="13">
        <f t="shared" si="4"/>
        <v>2486</v>
      </c>
      <c r="T73" s="29" t="s">
        <v>150</v>
      </c>
    </row>
    <row r="74" ht="22.5" customHeight="1">
      <c r="A74" s="4" t="s">
        <v>21</v>
      </c>
      <c r="B74" s="5" t="s">
        <v>120</v>
      </c>
      <c r="C74" s="5" t="s">
        <v>148</v>
      </c>
      <c r="D74" s="6" t="s">
        <v>155</v>
      </c>
      <c r="F74" s="16"/>
      <c r="G74" s="8" t="b">
        <v>0</v>
      </c>
      <c r="H74" s="8" t="b">
        <v>0</v>
      </c>
      <c r="I74" s="9">
        <v>1.0</v>
      </c>
      <c r="J74" s="10" t="s">
        <v>139</v>
      </c>
      <c r="K74" s="11" t="s">
        <v>29</v>
      </c>
      <c r="L74" s="9">
        <v>1.0</v>
      </c>
      <c r="M74" s="28">
        <v>1500.0</v>
      </c>
      <c r="N74" s="13">
        <f t="shared" si="1"/>
        <v>1500</v>
      </c>
      <c r="O74" s="32" t="s">
        <v>29</v>
      </c>
      <c r="P74" s="13">
        <v>0.0</v>
      </c>
      <c r="Q74" s="13">
        <f t="shared" si="2"/>
        <v>1500</v>
      </c>
      <c r="R74" s="13">
        <f t="shared" si="3"/>
        <v>195</v>
      </c>
      <c r="S74" s="13">
        <f t="shared" si="4"/>
        <v>1695</v>
      </c>
      <c r="T74" s="29" t="s">
        <v>150</v>
      </c>
    </row>
    <row r="75" ht="22.5" customHeight="1">
      <c r="A75" s="4" t="s">
        <v>21</v>
      </c>
      <c r="B75" s="5" t="s">
        <v>120</v>
      </c>
      <c r="C75" s="5" t="s">
        <v>148</v>
      </c>
      <c r="D75" s="6" t="s">
        <v>156</v>
      </c>
      <c r="F75" s="16"/>
      <c r="G75" s="8" t="b">
        <v>0</v>
      </c>
      <c r="H75" s="8" t="b">
        <v>0</v>
      </c>
      <c r="I75" s="9">
        <v>56.0</v>
      </c>
      <c r="J75" s="10" t="s">
        <v>157</v>
      </c>
      <c r="K75" s="11" t="s">
        <v>29</v>
      </c>
      <c r="L75" s="9">
        <v>1.0</v>
      </c>
      <c r="M75" s="28">
        <v>150.0</v>
      </c>
      <c r="N75" s="13">
        <f t="shared" si="1"/>
        <v>8400</v>
      </c>
      <c r="O75" s="31" t="s">
        <v>29</v>
      </c>
      <c r="P75" s="13">
        <v>0.0</v>
      </c>
      <c r="Q75" s="13">
        <f t="shared" si="2"/>
        <v>8400</v>
      </c>
      <c r="R75" s="13">
        <f t="shared" si="3"/>
        <v>1092</v>
      </c>
      <c r="S75" s="13">
        <f t="shared" si="4"/>
        <v>9492</v>
      </c>
      <c r="T75" s="29" t="s">
        <v>150</v>
      </c>
    </row>
    <row r="76" ht="22.5" customHeight="1">
      <c r="A76" s="4" t="s">
        <v>21</v>
      </c>
      <c r="B76" s="5" t="s">
        <v>120</v>
      </c>
      <c r="C76" s="5" t="s">
        <v>148</v>
      </c>
      <c r="D76" s="6" t="s">
        <v>158</v>
      </c>
      <c r="F76" s="16"/>
      <c r="G76" s="8" t="b">
        <v>0</v>
      </c>
      <c r="H76" s="8" t="b">
        <v>0</v>
      </c>
      <c r="I76" s="9">
        <v>4.0</v>
      </c>
      <c r="J76" s="10" t="s">
        <v>157</v>
      </c>
      <c r="K76" s="11" t="s">
        <v>29</v>
      </c>
      <c r="L76" s="9">
        <v>1.0</v>
      </c>
      <c r="M76" s="28">
        <v>150.0</v>
      </c>
      <c r="N76" s="13">
        <f t="shared" si="1"/>
        <v>600</v>
      </c>
      <c r="O76" s="32" t="s">
        <v>29</v>
      </c>
      <c r="P76" s="13">
        <v>0.0</v>
      </c>
      <c r="Q76" s="13">
        <f t="shared" si="2"/>
        <v>600</v>
      </c>
      <c r="R76" s="13">
        <f t="shared" si="3"/>
        <v>78</v>
      </c>
      <c r="S76" s="13">
        <f t="shared" si="4"/>
        <v>678</v>
      </c>
      <c r="T76" s="29" t="s">
        <v>150</v>
      </c>
    </row>
    <row r="77" ht="22.5" customHeight="1">
      <c r="A77" s="4" t="s">
        <v>21</v>
      </c>
      <c r="B77" s="5" t="s">
        <v>120</v>
      </c>
      <c r="C77" s="5" t="s">
        <v>148</v>
      </c>
      <c r="D77" s="6" t="s">
        <v>159</v>
      </c>
      <c r="F77" s="16"/>
      <c r="G77" s="8" t="b">
        <v>0</v>
      </c>
      <c r="H77" s="8" t="b">
        <v>0</v>
      </c>
      <c r="I77" s="9">
        <v>2.0</v>
      </c>
      <c r="J77" s="10" t="s">
        <v>45</v>
      </c>
      <c r="K77" s="11" t="s">
        <v>29</v>
      </c>
      <c r="L77" s="9">
        <v>1.0</v>
      </c>
      <c r="M77" s="28">
        <v>125.0</v>
      </c>
      <c r="N77" s="13">
        <f t="shared" si="1"/>
        <v>250</v>
      </c>
      <c r="O77" s="31" t="s">
        <v>29</v>
      </c>
      <c r="P77" s="13">
        <v>0.0</v>
      </c>
      <c r="Q77" s="13">
        <f t="shared" si="2"/>
        <v>250</v>
      </c>
      <c r="R77" s="13">
        <f t="shared" si="3"/>
        <v>32.5</v>
      </c>
      <c r="S77" s="13">
        <f t="shared" si="4"/>
        <v>282.5</v>
      </c>
      <c r="T77" s="29" t="s">
        <v>150</v>
      </c>
    </row>
    <row r="78" ht="22.5" customHeight="1">
      <c r="A78" s="4" t="s">
        <v>21</v>
      </c>
      <c r="B78" s="5" t="s">
        <v>120</v>
      </c>
      <c r="C78" s="5" t="s">
        <v>160</v>
      </c>
      <c r="D78" s="6" t="s">
        <v>161</v>
      </c>
      <c r="E78" s="10" t="s">
        <v>162</v>
      </c>
      <c r="F78" s="16"/>
      <c r="G78" s="8" t="b">
        <v>0</v>
      </c>
      <c r="H78" s="8" t="b">
        <v>0</v>
      </c>
      <c r="I78" s="9">
        <v>8.0</v>
      </c>
      <c r="J78" s="10" t="s">
        <v>45</v>
      </c>
      <c r="K78" s="11" t="s">
        <v>28</v>
      </c>
      <c r="L78" s="9">
        <v>2.0</v>
      </c>
      <c r="M78" s="28">
        <v>62.5</v>
      </c>
      <c r="N78" s="13">
        <f t="shared" si="1"/>
        <v>1000</v>
      </c>
      <c r="O78" s="14" t="s">
        <v>28</v>
      </c>
      <c r="P78" s="13">
        <v>200.0</v>
      </c>
      <c r="Q78" s="13">
        <f t="shared" si="2"/>
        <v>1200</v>
      </c>
      <c r="R78" s="13">
        <f t="shared" si="3"/>
        <v>156</v>
      </c>
      <c r="S78" s="13">
        <f t="shared" si="4"/>
        <v>1356</v>
      </c>
      <c r="T78" s="33" t="s">
        <v>41</v>
      </c>
    </row>
    <row r="79" ht="22.5" customHeight="1">
      <c r="A79" s="4" t="s">
        <v>21</v>
      </c>
      <c r="B79" s="5" t="s">
        <v>120</v>
      </c>
      <c r="C79" s="5" t="s">
        <v>23</v>
      </c>
      <c r="D79" s="6" t="s">
        <v>163</v>
      </c>
      <c r="F79" s="16"/>
      <c r="G79" s="8" t="b">
        <v>0</v>
      </c>
      <c r="H79" s="8" t="b">
        <v>0</v>
      </c>
      <c r="I79" s="9">
        <v>11.0</v>
      </c>
      <c r="J79" s="10" t="s">
        <v>27</v>
      </c>
      <c r="K79" s="11" t="s">
        <v>29</v>
      </c>
      <c r="L79" s="9">
        <v>1.0</v>
      </c>
      <c r="M79" s="12">
        <v>0.0</v>
      </c>
      <c r="N79" s="13">
        <f t="shared" si="1"/>
        <v>0</v>
      </c>
      <c r="O79" s="31" t="s">
        <v>29</v>
      </c>
      <c r="P79" s="13">
        <v>0.0</v>
      </c>
      <c r="Q79" s="13">
        <f t="shared" si="2"/>
        <v>0</v>
      </c>
      <c r="R79" s="13">
        <f t="shared" si="3"/>
        <v>0</v>
      </c>
      <c r="S79" s="13">
        <f t="shared" si="4"/>
        <v>0</v>
      </c>
      <c r="T79" s="29" t="s">
        <v>150</v>
      </c>
    </row>
    <row r="80" ht="22.5" customHeight="1">
      <c r="A80" s="4" t="s">
        <v>21</v>
      </c>
      <c r="B80" s="5" t="s">
        <v>120</v>
      </c>
      <c r="C80" s="5" t="s">
        <v>23</v>
      </c>
      <c r="D80" s="6" t="s">
        <v>164</v>
      </c>
      <c r="F80" s="16"/>
      <c r="G80" s="8" t="b">
        <v>0</v>
      </c>
      <c r="H80" s="8" t="b">
        <v>0</v>
      </c>
      <c r="I80" s="9">
        <v>1.0</v>
      </c>
      <c r="J80" s="10" t="s">
        <v>108</v>
      </c>
      <c r="K80" s="11" t="s">
        <v>28</v>
      </c>
      <c r="L80" s="9">
        <v>1.0</v>
      </c>
      <c r="M80" s="12">
        <v>500.0</v>
      </c>
      <c r="N80" s="13">
        <f t="shared" si="1"/>
        <v>500</v>
      </c>
      <c r="O80" s="32" t="s">
        <v>29</v>
      </c>
      <c r="P80" s="13">
        <v>0.0</v>
      </c>
      <c r="Q80" s="13">
        <f t="shared" si="2"/>
        <v>500</v>
      </c>
      <c r="R80" s="13">
        <f t="shared" si="3"/>
        <v>65</v>
      </c>
      <c r="S80" s="13">
        <f t="shared" si="4"/>
        <v>565</v>
      </c>
      <c r="T80" s="29" t="s">
        <v>150</v>
      </c>
    </row>
    <row r="81" ht="22.5" customHeight="1">
      <c r="A81" s="4" t="s">
        <v>21</v>
      </c>
      <c r="B81" s="5" t="s">
        <v>120</v>
      </c>
      <c r="C81" s="5" t="s">
        <v>23</v>
      </c>
      <c r="D81" s="6" t="s">
        <v>165</v>
      </c>
      <c r="F81" s="16"/>
      <c r="G81" s="8" t="b">
        <v>0</v>
      </c>
      <c r="H81" s="8" t="b">
        <v>0</v>
      </c>
      <c r="I81" s="9">
        <v>2.0</v>
      </c>
      <c r="J81" s="10" t="s">
        <v>27</v>
      </c>
      <c r="K81" s="11" t="s">
        <v>28</v>
      </c>
      <c r="L81" s="9">
        <v>2.0</v>
      </c>
      <c r="M81" s="12">
        <v>44.44</v>
      </c>
      <c r="N81" s="13">
        <f t="shared" si="1"/>
        <v>177.76</v>
      </c>
      <c r="O81" s="15" t="s">
        <v>29</v>
      </c>
      <c r="P81" s="13">
        <v>0.0</v>
      </c>
      <c r="Q81" s="13">
        <f t="shared" si="2"/>
        <v>177.76</v>
      </c>
      <c r="R81" s="13">
        <f t="shared" si="3"/>
        <v>23.1088</v>
      </c>
      <c r="S81" s="13">
        <f t="shared" si="4"/>
        <v>200.8688</v>
      </c>
    </row>
    <row r="82" ht="22.5" customHeight="1">
      <c r="A82" s="4" t="s">
        <v>21</v>
      </c>
      <c r="B82" s="5" t="s">
        <v>120</v>
      </c>
      <c r="C82" s="5" t="s">
        <v>23</v>
      </c>
      <c r="D82" s="6" t="s">
        <v>166</v>
      </c>
      <c r="F82" s="16"/>
      <c r="G82" s="8" t="b">
        <v>0</v>
      </c>
      <c r="H82" s="8" t="b">
        <v>0</v>
      </c>
      <c r="I82" s="9">
        <v>2.0</v>
      </c>
      <c r="J82" s="10" t="s">
        <v>27</v>
      </c>
      <c r="K82" s="11" t="s">
        <v>28</v>
      </c>
      <c r="L82" s="9">
        <v>2.0</v>
      </c>
      <c r="M82" s="12">
        <v>44.44</v>
      </c>
      <c r="N82" s="13">
        <f t="shared" si="1"/>
        <v>177.76</v>
      </c>
      <c r="O82" s="14" t="s">
        <v>29</v>
      </c>
      <c r="P82" s="13">
        <v>0.0</v>
      </c>
      <c r="Q82" s="13">
        <f t="shared" si="2"/>
        <v>177.76</v>
      </c>
      <c r="R82" s="13">
        <f t="shared" si="3"/>
        <v>23.1088</v>
      </c>
      <c r="S82" s="13">
        <f t="shared" si="4"/>
        <v>200.8688</v>
      </c>
    </row>
    <row r="83" ht="22.5" customHeight="1">
      <c r="A83" s="4" t="s">
        <v>21</v>
      </c>
      <c r="B83" s="5" t="s">
        <v>120</v>
      </c>
      <c r="C83" s="5" t="s">
        <v>23</v>
      </c>
      <c r="D83" s="6" t="s">
        <v>167</v>
      </c>
      <c r="F83" s="16"/>
      <c r="G83" s="8" t="b">
        <v>0</v>
      </c>
      <c r="H83" s="8" t="b">
        <v>0</v>
      </c>
      <c r="I83" s="9">
        <v>2.0</v>
      </c>
      <c r="J83" s="10" t="s">
        <v>27</v>
      </c>
      <c r="K83" s="11" t="s">
        <v>28</v>
      </c>
      <c r="L83" s="9">
        <v>2.0</v>
      </c>
      <c r="M83" s="12">
        <v>44.44</v>
      </c>
      <c r="N83" s="13">
        <f t="shared" si="1"/>
        <v>177.76</v>
      </c>
      <c r="O83" s="15" t="s">
        <v>29</v>
      </c>
      <c r="P83" s="13">
        <v>0.0</v>
      </c>
      <c r="Q83" s="13">
        <f t="shared" si="2"/>
        <v>177.76</v>
      </c>
      <c r="R83" s="13">
        <f t="shared" si="3"/>
        <v>23.1088</v>
      </c>
      <c r="S83" s="13">
        <f t="shared" si="4"/>
        <v>200.8688</v>
      </c>
    </row>
    <row r="84" ht="22.5" customHeight="1">
      <c r="A84" s="4" t="s">
        <v>21</v>
      </c>
      <c r="B84" s="5" t="s">
        <v>120</v>
      </c>
      <c r="C84" s="5" t="s">
        <v>33</v>
      </c>
      <c r="D84" s="6" t="s">
        <v>168</v>
      </c>
      <c r="F84" s="16"/>
      <c r="G84" s="8" t="b">
        <v>1</v>
      </c>
      <c r="H84" s="8" t="b">
        <v>0</v>
      </c>
      <c r="I84" s="9">
        <v>2.0</v>
      </c>
      <c r="J84" s="10" t="s">
        <v>27</v>
      </c>
      <c r="K84" s="11" t="s">
        <v>28</v>
      </c>
      <c r="L84" s="9">
        <v>2.0</v>
      </c>
      <c r="M84" s="12">
        <v>0.0</v>
      </c>
      <c r="N84" s="13">
        <f t="shared" si="1"/>
        <v>0</v>
      </c>
      <c r="O84" s="14" t="s">
        <v>29</v>
      </c>
      <c r="P84" s="13">
        <v>0.0</v>
      </c>
      <c r="Q84" s="13">
        <f t="shared" si="2"/>
        <v>0</v>
      </c>
      <c r="R84" s="13">
        <f t="shared" si="3"/>
        <v>0</v>
      </c>
      <c r="S84" s="13">
        <f t="shared" si="4"/>
        <v>0</v>
      </c>
      <c r="T84" s="10" t="s">
        <v>35</v>
      </c>
      <c r="U84" s="6"/>
    </row>
    <row r="85" ht="22.5" customHeight="1">
      <c r="A85" s="4" t="s">
        <v>21</v>
      </c>
      <c r="B85" s="5" t="s">
        <v>120</v>
      </c>
      <c r="C85" s="5" t="s">
        <v>33</v>
      </c>
      <c r="D85" s="6" t="s">
        <v>169</v>
      </c>
      <c r="F85" s="16"/>
      <c r="G85" s="8" t="b">
        <v>1</v>
      </c>
      <c r="H85" s="8" t="b">
        <v>0</v>
      </c>
      <c r="I85" s="9">
        <v>4.0</v>
      </c>
      <c r="J85" s="10" t="s">
        <v>27</v>
      </c>
      <c r="K85" s="11" t="s">
        <v>28</v>
      </c>
      <c r="L85" s="9">
        <v>2.0</v>
      </c>
      <c r="M85" s="12">
        <v>0.0</v>
      </c>
      <c r="N85" s="13">
        <f t="shared" si="1"/>
        <v>0</v>
      </c>
      <c r="O85" s="15" t="s">
        <v>29</v>
      </c>
      <c r="P85" s="13">
        <v>0.0</v>
      </c>
      <c r="Q85" s="13">
        <f t="shared" si="2"/>
        <v>0</v>
      </c>
      <c r="R85" s="13">
        <f t="shared" si="3"/>
        <v>0</v>
      </c>
      <c r="S85" s="13">
        <f t="shared" si="4"/>
        <v>0</v>
      </c>
      <c r="T85" s="10" t="s">
        <v>35</v>
      </c>
      <c r="U85" s="6"/>
    </row>
    <row r="86" ht="22.5" customHeight="1">
      <c r="A86" s="4" t="s">
        <v>21</v>
      </c>
      <c r="B86" s="5" t="s">
        <v>120</v>
      </c>
      <c r="C86" s="5" t="s">
        <v>111</v>
      </c>
      <c r="D86" s="6" t="s">
        <v>170</v>
      </c>
      <c r="F86" s="16"/>
      <c r="G86" s="8" t="b">
        <v>0</v>
      </c>
      <c r="H86" s="8" t="b">
        <v>0</v>
      </c>
      <c r="I86" s="9">
        <v>1.0</v>
      </c>
      <c r="J86" s="18" t="s">
        <v>108</v>
      </c>
      <c r="K86" s="11" t="s">
        <v>29</v>
      </c>
      <c r="L86" s="9">
        <v>1.0</v>
      </c>
      <c r="M86" s="12">
        <v>1500.0</v>
      </c>
      <c r="N86" s="13">
        <f t="shared" si="1"/>
        <v>1500</v>
      </c>
      <c r="O86" s="23" t="s">
        <v>28</v>
      </c>
      <c r="P86" s="13">
        <v>300.0</v>
      </c>
      <c r="Q86" s="13">
        <f t="shared" si="2"/>
        <v>1800</v>
      </c>
      <c r="R86" s="13">
        <f t="shared" si="3"/>
        <v>234</v>
      </c>
      <c r="S86" s="13">
        <f t="shared" si="4"/>
        <v>2034</v>
      </c>
      <c r="U86" s="6"/>
    </row>
    <row r="87" ht="22.5" customHeight="1">
      <c r="A87" s="4" t="s">
        <v>21</v>
      </c>
      <c r="B87" s="5" t="s">
        <v>120</v>
      </c>
      <c r="C87" s="5" t="s">
        <v>111</v>
      </c>
      <c r="D87" s="6" t="s">
        <v>171</v>
      </c>
      <c r="F87" s="16"/>
      <c r="G87" s="8" t="b">
        <v>0</v>
      </c>
      <c r="H87" s="8" t="b">
        <v>0</v>
      </c>
      <c r="I87" s="9">
        <v>1.0</v>
      </c>
      <c r="J87" s="18" t="s">
        <v>108</v>
      </c>
      <c r="K87" s="11" t="s">
        <v>29</v>
      </c>
      <c r="L87" s="9">
        <v>1.0</v>
      </c>
      <c r="M87" s="12">
        <v>0.0</v>
      </c>
      <c r="N87" s="13">
        <f t="shared" si="1"/>
        <v>0</v>
      </c>
      <c r="O87" s="23" t="s">
        <v>28</v>
      </c>
      <c r="P87" s="13">
        <v>0.0</v>
      </c>
      <c r="Q87" s="13">
        <f t="shared" si="2"/>
        <v>0</v>
      </c>
      <c r="R87" s="13">
        <f t="shared" si="3"/>
        <v>0</v>
      </c>
      <c r="S87" s="13">
        <f t="shared" si="4"/>
        <v>0</v>
      </c>
      <c r="U87" s="6"/>
    </row>
    <row r="88" ht="22.5" customHeight="1">
      <c r="A88" s="4" t="s">
        <v>21</v>
      </c>
      <c r="B88" s="5" t="s">
        <v>172</v>
      </c>
      <c r="C88" s="5" t="s">
        <v>52</v>
      </c>
      <c r="D88" s="6" t="s">
        <v>173</v>
      </c>
      <c r="F88" s="16"/>
      <c r="G88" s="8" t="b">
        <v>0</v>
      </c>
      <c r="H88" s="8" t="b">
        <v>0</v>
      </c>
      <c r="I88" s="9">
        <v>30.0</v>
      </c>
      <c r="J88" s="10" t="s">
        <v>174</v>
      </c>
      <c r="K88" s="11" t="s">
        <v>28</v>
      </c>
      <c r="L88" s="9">
        <v>2.0</v>
      </c>
      <c r="M88" s="12">
        <v>90.0</v>
      </c>
      <c r="N88" s="13">
        <f t="shared" si="1"/>
        <v>5400</v>
      </c>
      <c r="O88" s="14" t="s">
        <v>28</v>
      </c>
      <c r="P88" s="13">
        <v>1080.0</v>
      </c>
      <c r="Q88" s="13">
        <f t="shared" si="2"/>
        <v>6480</v>
      </c>
      <c r="R88" s="13">
        <f t="shared" si="3"/>
        <v>842.4</v>
      </c>
      <c r="S88" s="13">
        <f t="shared" si="4"/>
        <v>7322.4</v>
      </c>
      <c r="T88" s="34" t="s">
        <v>175</v>
      </c>
      <c r="U88" s="6"/>
    </row>
    <row r="89" ht="22.5" customHeight="1">
      <c r="A89" s="4" t="s">
        <v>21</v>
      </c>
      <c r="B89" s="5" t="s">
        <v>172</v>
      </c>
      <c r="C89" s="5" t="s">
        <v>52</v>
      </c>
      <c r="D89" s="6" t="s">
        <v>176</v>
      </c>
      <c r="F89" s="16"/>
      <c r="G89" s="8" t="b">
        <v>1</v>
      </c>
      <c r="H89" s="8" t="b">
        <v>0</v>
      </c>
      <c r="I89" s="9">
        <v>15.0</v>
      </c>
      <c r="J89" s="10" t="s">
        <v>45</v>
      </c>
      <c r="K89" s="11" t="s">
        <v>28</v>
      </c>
      <c r="L89" s="9">
        <v>2.0</v>
      </c>
      <c r="M89" s="12">
        <v>0.0</v>
      </c>
      <c r="N89" s="13">
        <f t="shared" si="1"/>
        <v>0</v>
      </c>
      <c r="O89" s="15" t="s">
        <v>29</v>
      </c>
      <c r="P89" s="13">
        <v>0.0</v>
      </c>
      <c r="Q89" s="13">
        <f t="shared" si="2"/>
        <v>0</v>
      </c>
      <c r="R89" s="13">
        <f t="shared" si="3"/>
        <v>0</v>
      </c>
      <c r="S89" s="13">
        <f t="shared" si="4"/>
        <v>0</v>
      </c>
      <c r="T89" s="10" t="s">
        <v>58</v>
      </c>
      <c r="U89" s="35"/>
    </row>
    <row r="90" ht="22.5" customHeight="1">
      <c r="A90" s="4" t="s">
        <v>21</v>
      </c>
      <c r="B90" s="5" t="s">
        <v>172</v>
      </c>
      <c r="C90" s="5" t="s">
        <v>59</v>
      </c>
      <c r="D90" s="6" t="s">
        <v>177</v>
      </c>
      <c r="F90" s="7" t="s">
        <v>61</v>
      </c>
      <c r="G90" s="8" t="b">
        <v>0</v>
      </c>
      <c r="H90" s="8" t="b">
        <v>0</v>
      </c>
      <c r="I90" s="9">
        <v>15.0</v>
      </c>
      <c r="J90" s="10" t="s">
        <v>45</v>
      </c>
      <c r="K90" s="11" t="s">
        <v>28</v>
      </c>
      <c r="L90" s="9">
        <v>2.0</v>
      </c>
      <c r="M90" s="12">
        <v>3.0</v>
      </c>
      <c r="N90" s="13">
        <f t="shared" si="1"/>
        <v>90</v>
      </c>
      <c r="O90" s="23" t="s">
        <v>28</v>
      </c>
      <c r="P90" s="13">
        <v>18.0</v>
      </c>
      <c r="Q90" s="13">
        <f t="shared" si="2"/>
        <v>108</v>
      </c>
      <c r="R90" s="13">
        <f t="shared" si="3"/>
        <v>14.04</v>
      </c>
      <c r="S90" s="13">
        <f t="shared" si="4"/>
        <v>122.04</v>
      </c>
      <c r="U90" s="6"/>
    </row>
    <row r="91" ht="22.5" customHeight="1">
      <c r="A91" s="4" t="s">
        <v>21</v>
      </c>
      <c r="B91" s="5" t="s">
        <v>172</v>
      </c>
      <c r="C91" s="5" t="s">
        <v>52</v>
      </c>
      <c r="D91" s="21" t="s">
        <v>178</v>
      </c>
      <c r="F91" s="16"/>
      <c r="G91" s="8" t="b">
        <v>0</v>
      </c>
      <c r="H91" s="8" t="b">
        <v>0</v>
      </c>
      <c r="I91" s="9">
        <v>60.0</v>
      </c>
      <c r="J91" s="10" t="s">
        <v>45</v>
      </c>
      <c r="K91" s="11" t="s">
        <v>28</v>
      </c>
      <c r="L91" s="9">
        <v>2.0</v>
      </c>
      <c r="M91" s="12">
        <v>0.0</v>
      </c>
      <c r="N91" s="13">
        <f t="shared" si="1"/>
        <v>0</v>
      </c>
      <c r="O91" s="15" t="s">
        <v>29</v>
      </c>
      <c r="P91" s="13">
        <v>0.0</v>
      </c>
      <c r="Q91" s="13">
        <f t="shared" si="2"/>
        <v>0</v>
      </c>
      <c r="R91" s="13">
        <f t="shared" si="3"/>
        <v>0</v>
      </c>
      <c r="S91" s="13">
        <f t="shared" si="4"/>
        <v>0</v>
      </c>
      <c r="T91" s="10" t="s">
        <v>58</v>
      </c>
      <c r="U91" s="35"/>
    </row>
    <row r="92" ht="22.5" customHeight="1">
      <c r="A92" s="4" t="s">
        <v>21</v>
      </c>
      <c r="B92" s="5" t="s">
        <v>172</v>
      </c>
      <c r="C92" s="5" t="s">
        <v>52</v>
      </c>
      <c r="D92" s="6" t="s">
        <v>179</v>
      </c>
      <c r="F92" s="16"/>
      <c r="G92" s="8" t="b">
        <v>0</v>
      </c>
      <c r="H92" s="8" t="b">
        <v>0</v>
      </c>
      <c r="I92" s="9">
        <v>2.0</v>
      </c>
      <c r="J92" s="10" t="s">
        <v>45</v>
      </c>
      <c r="K92" s="11" t="s">
        <v>28</v>
      </c>
      <c r="L92" s="9">
        <v>2.0</v>
      </c>
      <c r="M92" s="12">
        <v>40.0</v>
      </c>
      <c r="N92" s="13">
        <f t="shared" si="1"/>
        <v>160</v>
      </c>
      <c r="O92" s="23" t="s">
        <v>28</v>
      </c>
      <c r="P92" s="13">
        <v>32.0</v>
      </c>
      <c r="Q92" s="13">
        <f t="shared" si="2"/>
        <v>192</v>
      </c>
      <c r="R92" s="13">
        <f t="shared" si="3"/>
        <v>24.96</v>
      </c>
      <c r="S92" s="13">
        <f t="shared" si="4"/>
        <v>216.96</v>
      </c>
      <c r="T92" s="20" t="s">
        <v>54</v>
      </c>
      <c r="U92" s="6"/>
    </row>
    <row r="93" ht="22.5" customHeight="1">
      <c r="A93" s="4" t="s">
        <v>21</v>
      </c>
      <c r="B93" s="5" t="s">
        <v>172</v>
      </c>
      <c r="C93" s="5" t="s">
        <v>142</v>
      </c>
      <c r="D93" s="6" t="s">
        <v>180</v>
      </c>
      <c r="F93" s="16"/>
      <c r="G93" s="8" t="b">
        <v>0</v>
      </c>
      <c r="H93" s="8" t="b">
        <v>0</v>
      </c>
      <c r="I93" s="9">
        <v>1.0</v>
      </c>
      <c r="J93" s="10" t="s">
        <v>139</v>
      </c>
      <c r="K93" s="11" t="s">
        <v>28</v>
      </c>
      <c r="L93" s="9">
        <v>2.0</v>
      </c>
      <c r="M93" s="12">
        <v>500.0</v>
      </c>
      <c r="N93" s="13">
        <f t="shared" si="1"/>
        <v>1000</v>
      </c>
      <c r="O93" s="15" t="s">
        <v>28</v>
      </c>
      <c r="P93" s="13">
        <v>200.0</v>
      </c>
      <c r="Q93" s="13">
        <f t="shared" si="2"/>
        <v>1200</v>
      </c>
      <c r="R93" s="13">
        <f t="shared" si="3"/>
        <v>156</v>
      </c>
      <c r="S93" s="13">
        <f t="shared" si="4"/>
        <v>1356</v>
      </c>
      <c r="T93" s="29" t="s">
        <v>122</v>
      </c>
      <c r="U93" s="19"/>
    </row>
    <row r="94" ht="22.5" customHeight="1">
      <c r="A94" s="4" t="s">
        <v>21</v>
      </c>
      <c r="B94" s="5" t="s">
        <v>172</v>
      </c>
      <c r="C94" s="5" t="s">
        <v>181</v>
      </c>
      <c r="D94" s="6" t="s">
        <v>182</v>
      </c>
      <c r="F94" s="16"/>
      <c r="G94" s="8" t="b">
        <v>0</v>
      </c>
      <c r="H94" s="8" t="b">
        <v>0</v>
      </c>
      <c r="I94" s="9">
        <v>12.0</v>
      </c>
      <c r="J94" s="10" t="s">
        <v>45</v>
      </c>
      <c r="K94" s="11" t="s">
        <v>28</v>
      </c>
      <c r="L94" s="9">
        <v>2.0</v>
      </c>
      <c r="M94" s="12">
        <v>25.0</v>
      </c>
      <c r="N94" s="13">
        <f t="shared" si="1"/>
        <v>600</v>
      </c>
      <c r="O94" s="14" t="s">
        <v>28</v>
      </c>
      <c r="P94" s="13">
        <v>120.0</v>
      </c>
      <c r="Q94" s="13">
        <f t="shared" si="2"/>
        <v>720</v>
      </c>
      <c r="R94" s="13">
        <f t="shared" si="3"/>
        <v>93.6</v>
      </c>
      <c r="S94" s="13">
        <f t="shared" si="4"/>
        <v>813.6</v>
      </c>
      <c r="T94" s="29" t="s">
        <v>122</v>
      </c>
      <c r="U94" s="6"/>
    </row>
    <row r="95" ht="22.5" customHeight="1">
      <c r="A95" s="4" t="s">
        <v>21</v>
      </c>
      <c r="B95" s="5" t="s">
        <v>172</v>
      </c>
      <c r="C95" s="5" t="s">
        <v>109</v>
      </c>
      <c r="D95" s="6" t="s">
        <v>183</v>
      </c>
      <c r="F95" s="16"/>
      <c r="G95" s="8" t="b">
        <v>0</v>
      </c>
      <c r="H95" s="8" t="b">
        <v>0</v>
      </c>
      <c r="I95" s="9">
        <v>5.0</v>
      </c>
      <c r="J95" s="10" t="s">
        <v>45</v>
      </c>
      <c r="K95" s="11" t="s">
        <v>29</v>
      </c>
      <c r="L95" s="9">
        <v>1.0</v>
      </c>
      <c r="M95" s="12">
        <v>55.55</v>
      </c>
      <c r="N95" s="13">
        <f t="shared" si="1"/>
        <v>277.75</v>
      </c>
      <c r="O95" s="15" t="s">
        <v>28</v>
      </c>
      <c r="P95" s="13">
        <v>55.550000000000004</v>
      </c>
      <c r="Q95" s="13">
        <f t="shared" si="2"/>
        <v>333.3</v>
      </c>
      <c r="R95" s="13">
        <f t="shared" si="3"/>
        <v>43.329</v>
      </c>
      <c r="S95" s="13">
        <f t="shared" si="4"/>
        <v>376.629</v>
      </c>
      <c r="U95" s="19"/>
    </row>
    <row r="96" ht="22.5" customHeight="1">
      <c r="A96" s="4" t="s">
        <v>21</v>
      </c>
      <c r="B96" s="5" t="s">
        <v>172</v>
      </c>
      <c r="C96" s="5" t="s">
        <v>43</v>
      </c>
      <c r="D96" s="6" t="s">
        <v>184</v>
      </c>
      <c r="F96" s="16"/>
      <c r="G96" s="8" t="b">
        <v>0</v>
      </c>
      <c r="H96" s="8" t="b">
        <v>0</v>
      </c>
      <c r="I96" s="9">
        <v>3.0</v>
      </c>
      <c r="J96" s="10" t="s">
        <v>45</v>
      </c>
      <c r="K96" s="11" t="s">
        <v>28</v>
      </c>
      <c r="L96" s="9">
        <v>2.0</v>
      </c>
      <c r="M96" s="12">
        <v>25.0</v>
      </c>
      <c r="N96" s="13">
        <f t="shared" si="1"/>
        <v>150</v>
      </c>
      <c r="O96" s="14" t="s">
        <v>28</v>
      </c>
      <c r="P96" s="13">
        <v>30.0</v>
      </c>
      <c r="Q96" s="13">
        <f t="shared" si="2"/>
        <v>180</v>
      </c>
      <c r="R96" s="13">
        <f t="shared" si="3"/>
        <v>23.4</v>
      </c>
      <c r="S96" s="13">
        <f t="shared" si="4"/>
        <v>203.4</v>
      </c>
      <c r="T96" s="27" t="s">
        <v>131</v>
      </c>
      <c r="U96" s="29"/>
    </row>
    <row r="97" ht="22.5" customHeight="1">
      <c r="A97" s="4" t="s">
        <v>21</v>
      </c>
      <c r="B97" s="5" t="s">
        <v>172</v>
      </c>
      <c r="C97" s="5" t="s">
        <v>43</v>
      </c>
      <c r="D97" s="6" t="s">
        <v>185</v>
      </c>
      <c r="F97" s="16"/>
      <c r="G97" s="8" t="b">
        <v>0</v>
      </c>
      <c r="H97" s="8" t="b">
        <v>0</v>
      </c>
      <c r="I97" s="9">
        <v>1.0</v>
      </c>
      <c r="J97" s="10" t="s">
        <v>45</v>
      </c>
      <c r="K97" s="11" t="s">
        <v>28</v>
      </c>
      <c r="L97" s="9">
        <v>2.0</v>
      </c>
      <c r="M97" s="12">
        <v>15.0</v>
      </c>
      <c r="N97" s="13">
        <f t="shared" si="1"/>
        <v>30</v>
      </c>
      <c r="O97" s="15" t="s">
        <v>28</v>
      </c>
      <c r="P97" s="13">
        <v>6.0</v>
      </c>
      <c r="Q97" s="13">
        <f t="shared" si="2"/>
        <v>36</v>
      </c>
      <c r="R97" s="13">
        <f t="shared" si="3"/>
        <v>4.68</v>
      </c>
      <c r="S97" s="13">
        <f t="shared" si="4"/>
        <v>40.68</v>
      </c>
      <c r="T97" s="20" t="s">
        <v>131</v>
      </c>
      <c r="U97" s="29"/>
    </row>
    <row r="98" ht="22.5" customHeight="1">
      <c r="A98" s="4" t="s">
        <v>21</v>
      </c>
      <c r="B98" s="5" t="s">
        <v>172</v>
      </c>
      <c r="C98" s="5" t="s">
        <v>43</v>
      </c>
      <c r="D98" s="6" t="s">
        <v>186</v>
      </c>
      <c r="F98" s="16"/>
      <c r="G98" s="8" t="b">
        <v>0</v>
      </c>
      <c r="H98" s="8" t="b">
        <v>0</v>
      </c>
      <c r="I98" s="9">
        <v>15.0</v>
      </c>
      <c r="J98" s="10" t="s">
        <v>45</v>
      </c>
      <c r="K98" s="11" t="s">
        <v>29</v>
      </c>
      <c r="L98" s="9">
        <v>1.0</v>
      </c>
      <c r="M98" s="12">
        <v>40.0</v>
      </c>
      <c r="N98" s="13">
        <f t="shared" si="1"/>
        <v>600</v>
      </c>
      <c r="O98" s="14" t="s">
        <v>28</v>
      </c>
      <c r="P98" s="13">
        <v>120.0</v>
      </c>
      <c r="Q98" s="13">
        <f t="shared" si="2"/>
        <v>720</v>
      </c>
      <c r="R98" s="13">
        <f t="shared" si="3"/>
        <v>93.6</v>
      </c>
      <c r="S98" s="13">
        <f t="shared" si="4"/>
        <v>813.6</v>
      </c>
      <c r="T98" s="20" t="s">
        <v>54</v>
      </c>
      <c r="U98" s="6"/>
    </row>
    <row r="99" ht="22.5" customHeight="1">
      <c r="A99" s="4" t="s">
        <v>21</v>
      </c>
      <c r="B99" s="5" t="s">
        <v>172</v>
      </c>
      <c r="C99" s="5" t="s">
        <v>105</v>
      </c>
      <c r="D99" s="6" t="s">
        <v>187</v>
      </c>
      <c r="F99" s="16"/>
      <c r="G99" s="8" t="b">
        <v>0</v>
      </c>
      <c r="H99" s="8" t="b">
        <v>0</v>
      </c>
      <c r="I99" s="9">
        <v>1.0</v>
      </c>
      <c r="J99" s="10" t="s">
        <v>45</v>
      </c>
      <c r="K99" s="11" t="s">
        <v>29</v>
      </c>
      <c r="L99" s="9">
        <v>1.0</v>
      </c>
      <c r="M99" s="12">
        <v>195.0</v>
      </c>
      <c r="N99" s="13">
        <f t="shared" si="1"/>
        <v>195</v>
      </c>
      <c r="O99" s="15" t="s">
        <v>28</v>
      </c>
      <c r="P99" s="13">
        <v>39.0</v>
      </c>
      <c r="Q99" s="13">
        <f t="shared" si="2"/>
        <v>234</v>
      </c>
      <c r="R99" s="13">
        <f t="shared" si="3"/>
        <v>30.42</v>
      </c>
      <c r="S99" s="13">
        <f t="shared" si="4"/>
        <v>264.42</v>
      </c>
      <c r="T99" s="27" t="s">
        <v>54</v>
      </c>
      <c r="U99" s="19"/>
    </row>
    <row r="100" ht="22.5" customHeight="1">
      <c r="A100" s="4" t="s">
        <v>21</v>
      </c>
      <c r="B100" s="5" t="s">
        <v>172</v>
      </c>
      <c r="C100" s="5" t="s">
        <v>105</v>
      </c>
      <c r="D100" s="6" t="s">
        <v>188</v>
      </c>
      <c r="F100" s="16"/>
      <c r="G100" s="8" t="b">
        <v>0</v>
      </c>
      <c r="H100" s="8" t="b">
        <v>0</v>
      </c>
      <c r="I100" s="9">
        <v>1.0</v>
      </c>
      <c r="J100" s="10" t="s">
        <v>45</v>
      </c>
      <c r="K100" s="11" t="s">
        <v>29</v>
      </c>
      <c r="L100" s="9">
        <v>1.0</v>
      </c>
      <c r="M100" s="12">
        <v>195.0</v>
      </c>
      <c r="N100" s="13">
        <f t="shared" si="1"/>
        <v>195</v>
      </c>
      <c r="O100" s="14" t="s">
        <v>28</v>
      </c>
      <c r="P100" s="13">
        <v>39.0</v>
      </c>
      <c r="Q100" s="13">
        <f t="shared" si="2"/>
        <v>234</v>
      </c>
      <c r="R100" s="13">
        <f t="shared" si="3"/>
        <v>30.42</v>
      </c>
      <c r="S100" s="13">
        <f t="shared" si="4"/>
        <v>264.42</v>
      </c>
      <c r="T100" s="20" t="s">
        <v>54</v>
      </c>
      <c r="U100" s="19"/>
    </row>
    <row r="101" ht="22.5" customHeight="1">
      <c r="A101" s="4" t="s">
        <v>21</v>
      </c>
      <c r="B101" s="5" t="s">
        <v>172</v>
      </c>
      <c r="C101" s="5" t="s">
        <v>105</v>
      </c>
      <c r="D101" s="6" t="s">
        <v>189</v>
      </c>
      <c r="F101" s="16"/>
      <c r="G101" s="8" t="b">
        <v>0</v>
      </c>
      <c r="H101" s="8" t="b">
        <v>0</v>
      </c>
      <c r="I101" s="9" t="s">
        <v>190</v>
      </c>
      <c r="K101" s="36"/>
      <c r="L101" s="37"/>
      <c r="M101" s="13"/>
      <c r="N101" s="13" t="str">
        <f t="shared" si="1"/>
        <v>#VALUE!</v>
      </c>
      <c r="O101" s="15" t="s">
        <v>28</v>
      </c>
      <c r="P101" s="13" t="e">
        <v>#VALUE!</v>
      </c>
      <c r="Q101" s="13" t="str">
        <f t="shared" si="2"/>
        <v>#VALUE!</v>
      </c>
      <c r="R101" s="13" t="str">
        <f t="shared" si="3"/>
        <v>#VALUE!</v>
      </c>
      <c r="S101" s="13" t="str">
        <f t="shared" si="4"/>
        <v>#VALUE!</v>
      </c>
      <c r="U101" s="19"/>
    </row>
    <row r="102" ht="22.5" customHeight="1">
      <c r="A102" s="4" t="s">
        <v>21</v>
      </c>
      <c r="B102" s="5" t="s">
        <v>172</v>
      </c>
      <c r="C102" s="5" t="s">
        <v>111</v>
      </c>
      <c r="D102" s="6" t="s">
        <v>191</v>
      </c>
      <c r="F102" s="16"/>
      <c r="G102" s="8" t="b">
        <v>0</v>
      </c>
      <c r="H102" s="8" t="b">
        <v>0</v>
      </c>
      <c r="I102" s="9">
        <v>1.0</v>
      </c>
      <c r="J102" s="10" t="s">
        <v>108</v>
      </c>
      <c r="K102" s="11" t="s">
        <v>29</v>
      </c>
      <c r="L102" s="9">
        <v>1.0</v>
      </c>
      <c r="M102" s="12">
        <v>0.0</v>
      </c>
      <c r="N102" s="13">
        <f t="shared" si="1"/>
        <v>0</v>
      </c>
      <c r="O102" s="23" t="s">
        <v>28</v>
      </c>
      <c r="P102" s="13">
        <v>0.0</v>
      </c>
      <c r="Q102" s="13">
        <f t="shared" si="2"/>
        <v>0</v>
      </c>
      <c r="R102" s="13">
        <f t="shared" si="3"/>
        <v>0</v>
      </c>
      <c r="S102" s="13">
        <f t="shared" si="4"/>
        <v>0</v>
      </c>
      <c r="U102" s="19"/>
    </row>
    <row r="103" ht="22.5" customHeight="1">
      <c r="A103" s="4" t="s">
        <v>21</v>
      </c>
      <c r="B103" s="5" t="s">
        <v>192</v>
      </c>
      <c r="C103" s="5" t="s">
        <v>52</v>
      </c>
      <c r="D103" s="6" t="s">
        <v>193</v>
      </c>
      <c r="F103" s="16"/>
      <c r="G103" s="8" t="b">
        <v>1</v>
      </c>
      <c r="H103" s="8" t="b">
        <v>0</v>
      </c>
      <c r="I103" s="9">
        <v>20.0</v>
      </c>
      <c r="J103" s="10" t="s">
        <v>45</v>
      </c>
      <c r="K103" s="11" t="s">
        <v>28</v>
      </c>
      <c r="L103" s="9">
        <v>2.0</v>
      </c>
      <c r="M103" s="12">
        <v>0.0</v>
      </c>
      <c r="N103" s="13">
        <f t="shared" si="1"/>
        <v>0</v>
      </c>
      <c r="O103" s="15" t="s">
        <v>29</v>
      </c>
      <c r="P103" s="13">
        <v>0.0</v>
      </c>
      <c r="Q103" s="13">
        <f t="shared" si="2"/>
        <v>0</v>
      </c>
      <c r="R103" s="13">
        <f t="shared" si="3"/>
        <v>0</v>
      </c>
      <c r="S103" s="13">
        <f t="shared" si="4"/>
        <v>0</v>
      </c>
      <c r="T103" s="10" t="s">
        <v>58</v>
      </c>
      <c r="U103" s="19"/>
    </row>
    <row r="104" ht="22.5" customHeight="1">
      <c r="A104" s="4" t="s">
        <v>21</v>
      </c>
      <c r="B104" s="5" t="s">
        <v>192</v>
      </c>
      <c r="C104" s="5" t="s">
        <v>52</v>
      </c>
      <c r="D104" s="6" t="s">
        <v>194</v>
      </c>
      <c r="F104" s="16"/>
      <c r="G104" s="8" t="b">
        <v>1</v>
      </c>
      <c r="H104" s="8" t="b">
        <v>0</v>
      </c>
      <c r="I104" s="9">
        <v>18.0</v>
      </c>
      <c r="J104" s="10" t="s">
        <v>45</v>
      </c>
      <c r="K104" s="11" t="s">
        <v>28</v>
      </c>
      <c r="L104" s="9">
        <v>2.0</v>
      </c>
      <c r="M104" s="12">
        <v>0.0</v>
      </c>
      <c r="N104" s="13">
        <f t="shared" si="1"/>
        <v>0</v>
      </c>
      <c r="O104" s="14" t="s">
        <v>29</v>
      </c>
      <c r="P104" s="13">
        <v>0.0</v>
      </c>
      <c r="Q104" s="13">
        <f t="shared" si="2"/>
        <v>0</v>
      </c>
      <c r="R104" s="13">
        <f t="shared" si="3"/>
        <v>0</v>
      </c>
      <c r="S104" s="13">
        <f t="shared" si="4"/>
        <v>0</v>
      </c>
      <c r="T104" s="10" t="s">
        <v>58</v>
      </c>
      <c r="U104" s="6"/>
    </row>
    <row r="105" ht="22.5" customHeight="1">
      <c r="A105" s="4" t="s">
        <v>21</v>
      </c>
      <c r="B105" s="5" t="s">
        <v>192</v>
      </c>
      <c r="C105" s="5" t="s">
        <v>52</v>
      </c>
      <c r="D105" s="21" t="s">
        <v>195</v>
      </c>
      <c r="F105" s="16"/>
      <c r="G105" s="8" t="b">
        <v>0</v>
      </c>
      <c r="H105" s="8" t="b">
        <v>0</v>
      </c>
      <c r="I105" s="9">
        <v>72.0</v>
      </c>
      <c r="J105" s="10" t="s">
        <v>45</v>
      </c>
      <c r="K105" s="11" t="s">
        <v>28</v>
      </c>
      <c r="L105" s="9">
        <v>2.0</v>
      </c>
      <c r="M105" s="12">
        <v>0.0</v>
      </c>
      <c r="N105" s="13">
        <f t="shared" si="1"/>
        <v>0</v>
      </c>
      <c r="O105" s="15" t="s">
        <v>29</v>
      </c>
      <c r="P105" s="13">
        <v>0.0</v>
      </c>
      <c r="Q105" s="13">
        <f t="shared" si="2"/>
        <v>0</v>
      </c>
      <c r="R105" s="13">
        <f t="shared" si="3"/>
        <v>0</v>
      </c>
      <c r="S105" s="13">
        <f t="shared" si="4"/>
        <v>0</v>
      </c>
      <c r="T105" s="10" t="s">
        <v>58</v>
      </c>
      <c r="U105" s="6"/>
    </row>
    <row r="106" ht="22.5" customHeight="1">
      <c r="A106" s="4" t="s">
        <v>21</v>
      </c>
      <c r="B106" s="5" t="s">
        <v>192</v>
      </c>
      <c r="C106" s="5" t="s">
        <v>181</v>
      </c>
      <c r="D106" s="6" t="s">
        <v>196</v>
      </c>
      <c r="F106" s="16"/>
      <c r="G106" s="8" t="b">
        <v>0</v>
      </c>
      <c r="H106" s="8" t="b">
        <v>0</v>
      </c>
      <c r="I106" s="9">
        <v>12.0</v>
      </c>
      <c r="J106" s="10" t="s">
        <v>45</v>
      </c>
      <c r="K106" s="11" t="s">
        <v>28</v>
      </c>
      <c r="L106" s="9">
        <v>2.0</v>
      </c>
      <c r="M106" s="12">
        <v>25.0</v>
      </c>
      <c r="N106" s="13">
        <f t="shared" si="1"/>
        <v>600</v>
      </c>
      <c r="O106" s="14" t="s">
        <v>28</v>
      </c>
      <c r="P106" s="13">
        <v>120.0</v>
      </c>
      <c r="Q106" s="13">
        <f t="shared" si="2"/>
        <v>720</v>
      </c>
      <c r="R106" s="13">
        <f t="shared" si="3"/>
        <v>93.6</v>
      </c>
      <c r="S106" s="13">
        <f t="shared" si="4"/>
        <v>813.6</v>
      </c>
      <c r="T106" s="24" t="s">
        <v>122</v>
      </c>
      <c r="U106" s="6"/>
    </row>
    <row r="107" ht="22.5" customHeight="1">
      <c r="A107" s="4" t="s">
        <v>21</v>
      </c>
      <c r="B107" s="5" t="s">
        <v>192</v>
      </c>
      <c r="C107" s="5" t="s">
        <v>52</v>
      </c>
      <c r="D107" s="6" t="s">
        <v>197</v>
      </c>
      <c r="F107" s="16"/>
      <c r="G107" s="8" t="b">
        <v>0</v>
      </c>
      <c r="H107" s="8" t="b">
        <v>0</v>
      </c>
      <c r="I107" s="9">
        <v>1.0</v>
      </c>
      <c r="J107" s="10" t="s">
        <v>45</v>
      </c>
      <c r="K107" s="11" t="s">
        <v>28</v>
      </c>
      <c r="L107" s="9">
        <v>2.0</v>
      </c>
      <c r="M107" s="12">
        <v>350.0</v>
      </c>
      <c r="N107" s="13">
        <f t="shared" si="1"/>
        <v>700</v>
      </c>
      <c r="O107" s="23" t="s">
        <v>28</v>
      </c>
      <c r="P107" s="13">
        <v>140.0</v>
      </c>
      <c r="Q107" s="13">
        <f t="shared" si="2"/>
        <v>840</v>
      </c>
      <c r="R107" s="13">
        <f t="shared" si="3"/>
        <v>109.2</v>
      </c>
      <c r="S107" s="13">
        <f t="shared" si="4"/>
        <v>949.2</v>
      </c>
      <c r="U107" s="6"/>
    </row>
    <row r="108" ht="22.5" customHeight="1">
      <c r="A108" s="4" t="s">
        <v>21</v>
      </c>
      <c r="B108" s="5" t="s">
        <v>198</v>
      </c>
      <c r="C108" s="5" t="s">
        <v>52</v>
      </c>
      <c r="D108" s="6" t="s">
        <v>199</v>
      </c>
      <c r="F108" s="16"/>
      <c r="G108" s="8" t="b">
        <v>0</v>
      </c>
      <c r="H108" s="8" t="b">
        <v>0</v>
      </c>
      <c r="I108" s="9">
        <v>8.0</v>
      </c>
      <c r="J108" s="10" t="s">
        <v>45</v>
      </c>
      <c r="K108" s="11" t="s">
        <v>28</v>
      </c>
      <c r="L108" s="9">
        <v>2.0</v>
      </c>
      <c r="M108" s="12">
        <v>3.0</v>
      </c>
      <c r="N108" s="13">
        <f t="shared" si="1"/>
        <v>48</v>
      </c>
      <c r="O108" s="14" t="s">
        <v>28</v>
      </c>
      <c r="P108" s="13">
        <v>9.600000000000001</v>
      </c>
      <c r="Q108" s="13">
        <f t="shared" si="2"/>
        <v>57.6</v>
      </c>
      <c r="R108" s="13">
        <f t="shared" si="3"/>
        <v>7.488</v>
      </c>
      <c r="S108" s="13">
        <f t="shared" si="4"/>
        <v>65.088</v>
      </c>
      <c r="T108" s="20" t="s">
        <v>62</v>
      </c>
      <c r="U108" s="6"/>
    </row>
    <row r="109" ht="22.5" customHeight="1">
      <c r="A109" s="4" t="s">
        <v>21</v>
      </c>
      <c r="B109" s="5" t="s">
        <v>198</v>
      </c>
      <c r="C109" s="5" t="s">
        <v>52</v>
      </c>
      <c r="D109" s="6" t="s">
        <v>200</v>
      </c>
      <c r="F109" s="7" t="s">
        <v>61</v>
      </c>
      <c r="G109" s="8" t="b">
        <v>0</v>
      </c>
      <c r="H109" s="8" t="b">
        <v>0</v>
      </c>
      <c r="I109" s="9">
        <v>8.0</v>
      </c>
      <c r="J109" s="10" t="s">
        <v>45</v>
      </c>
      <c r="K109" s="11" t="s">
        <v>28</v>
      </c>
      <c r="L109" s="9">
        <v>2.0</v>
      </c>
      <c r="M109" s="12">
        <v>3.0</v>
      </c>
      <c r="N109" s="13">
        <f t="shared" si="1"/>
        <v>48</v>
      </c>
      <c r="O109" s="23" t="s">
        <v>28</v>
      </c>
      <c r="P109" s="13">
        <v>9.600000000000001</v>
      </c>
      <c r="Q109" s="13">
        <f t="shared" si="2"/>
        <v>57.6</v>
      </c>
      <c r="R109" s="13">
        <f t="shared" si="3"/>
        <v>7.488</v>
      </c>
      <c r="S109" s="13">
        <f t="shared" si="4"/>
        <v>65.088</v>
      </c>
      <c r="T109" s="20" t="s">
        <v>62</v>
      </c>
      <c r="U109" s="29"/>
    </row>
    <row r="110" ht="22.5" customHeight="1">
      <c r="A110" s="4" t="s">
        <v>21</v>
      </c>
      <c r="B110" s="5" t="s">
        <v>198</v>
      </c>
      <c r="C110" s="5" t="s">
        <v>52</v>
      </c>
      <c r="D110" s="6" t="s">
        <v>201</v>
      </c>
      <c r="F110" s="10" t="s">
        <v>202</v>
      </c>
      <c r="G110" s="8" t="b">
        <v>0</v>
      </c>
      <c r="H110" s="8" t="b">
        <v>0</v>
      </c>
      <c r="I110" s="9">
        <v>2.0</v>
      </c>
      <c r="J110" s="10" t="s">
        <v>45</v>
      </c>
      <c r="K110" s="11" t="s">
        <v>28</v>
      </c>
      <c r="L110" s="9">
        <v>2.0</v>
      </c>
      <c r="M110" s="12">
        <v>245.0</v>
      </c>
      <c r="N110" s="13">
        <f t="shared" si="1"/>
        <v>980</v>
      </c>
      <c r="O110" s="14" t="s">
        <v>28</v>
      </c>
      <c r="P110" s="13">
        <v>196.0</v>
      </c>
      <c r="Q110" s="13">
        <f t="shared" si="2"/>
        <v>1176</v>
      </c>
      <c r="R110" s="13">
        <f t="shared" si="3"/>
        <v>152.88</v>
      </c>
      <c r="S110" s="13">
        <f t="shared" si="4"/>
        <v>1328.88</v>
      </c>
      <c r="T110" s="20" t="s">
        <v>54</v>
      </c>
      <c r="U110" s="6"/>
    </row>
    <row r="111" ht="22.5" customHeight="1">
      <c r="A111" s="4" t="s">
        <v>21</v>
      </c>
      <c r="B111" s="5" t="s">
        <v>198</v>
      </c>
      <c r="C111" s="5" t="s">
        <v>109</v>
      </c>
      <c r="D111" s="6" t="s">
        <v>203</v>
      </c>
      <c r="F111" s="16"/>
      <c r="G111" s="8" t="b">
        <v>0</v>
      </c>
      <c r="H111" s="8" t="b">
        <v>0</v>
      </c>
      <c r="I111" s="9">
        <v>1.0</v>
      </c>
      <c r="J111" s="10" t="s">
        <v>45</v>
      </c>
      <c r="K111" s="11" t="s">
        <v>29</v>
      </c>
      <c r="L111" s="9">
        <v>1.0</v>
      </c>
      <c r="M111" s="12">
        <v>99.99</v>
      </c>
      <c r="N111" s="13">
        <f t="shared" si="1"/>
        <v>99.99</v>
      </c>
      <c r="O111" s="15" t="s">
        <v>28</v>
      </c>
      <c r="P111" s="13">
        <v>19.998</v>
      </c>
      <c r="Q111" s="13">
        <f t="shared" si="2"/>
        <v>119.988</v>
      </c>
      <c r="R111" s="13">
        <f t="shared" si="3"/>
        <v>15.59844</v>
      </c>
      <c r="S111" s="13">
        <f t="shared" si="4"/>
        <v>135.58644</v>
      </c>
      <c r="U111" s="19"/>
    </row>
    <row r="112" ht="22.5" customHeight="1">
      <c r="A112" s="4" t="s">
        <v>21</v>
      </c>
      <c r="B112" s="5" t="s">
        <v>198</v>
      </c>
      <c r="C112" s="5" t="s">
        <v>204</v>
      </c>
      <c r="D112" s="6" t="s">
        <v>205</v>
      </c>
      <c r="F112" s="16"/>
      <c r="G112" s="8" t="b">
        <v>0</v>
      </c>
      <c r="H112" s="8" t="b">
        <v>0</v>
      </c>
      <c r="I112" s="9">
        <v>1.0</v>
      </c>
      <c r="J112" s="10" t="s">
        <v>45</v>
      </c>
      <c r="K112" s="11" t="s">
        <v>29</v>
      </c>
      <c r="L112" s="9">
        <v>1.0</v>
      </c>
      <c r="M112" s="12">
        <v>177.99</v>
      </c>
      <c r="N112" s="13">
        <f t="shared" si="1"/>
        <v>177.99</v>
      </c>
      <c r="O112" s="14" t="s">
        <v>29</v>
      </c>
      <c r="P112" s="13">
        <v>0.0</v>
      </c>
      <c r="Q112" s="13">
        <f t="shared" si="2"/>
        <v>177.99</v>
      </c>
      <c r="R112" s="13">
        <f t="shared" si="3"/>
        <v>23.1387</v>
      </c>
      <c r="S112" s="13">
        <f t="shared" si="4"/>
        <v>201.1287</v>
      </c>
      <c r="U112" s="19"/>
    </row>
    <row r="113" ht="22.5" customHeight="1">
      <c r="A113" s="4" t="s">
        <v>21</v>
      </c>
      <c r="B113" s="5" t="s">
        <v>198</v>
      </c>
      <c r="C113" s="5" t="s">
        <v>204</v>
      </c>
      <c r="D113" s="6" t="s">
        <v>206</v>
      </c>
      <c r="F113" s="16"/>
      <c r="G113" s="8" t="b">
        <v>0</v>
      </c>
      <c r="H113" s="8" t="b">
        <v>0</v>
      </c>
      <c r="I113" s="9">
        <v>4.0</v>
      </c>
      <c r="J113" s="10" t="s">
        <v>45</v>
      </c>
      <c r="K113" s="11" t="s">
        <v>29</v>
      </c>
      <c r="L113" s="9">
        <v>1.0</v>
      </c>
      <c r="M113" s="12">
        <v>125.0</v>
      </c>
      <c r="N113" s="13">
        <f t="shared" si="1"/>
        <v>500</v>
      </c>
      <c r="O113" s="15" t="s">
        <v>29</v>
      </c>
      <c r="P113" s="13">
        <v>0.0</v>
      </c>
      <c r="Q113" s="13">
        <f t="shared" si="2"/>
        <v>500</v>
      </c>
      <c r="R113" s="13">
        <f t="shared" si="3"/>
        <v>65</v>
      </c>
      <c r="S113" s="13">
        <f t="shared" si="4"/>
        <v>565</v>
      </c>
      <c r="U113" s="19"/>
    </row>
    <row r="114" ht="22.5" customHeight="1">
      <c r="A114" s="4" t="s">
        <v>21</v>
      </c>
      <c r="B114" s="5" t="s">
        <v>198</v>
      </c>
      <c r="C114" s="5" t="s">
        <v>204</v>
      </c>
      <c r="D114" s="6" t="s">
        <v>207</v>
      </c>
      <c r="F114" s="16"/>
      <c r="G114" s="8" t="b">
        <v>0</v>
      </c>
      <c r="H114" s="8" t="b">
        <v>0</v>
      </c>
      <c r="I114" s="9">
        <v>1.0</v>
      </c>
      <c r="J114" s="10" t="s">
        <v>139</v>
      </c>
      <c r="K114" s="11" t="s">
        <v>29</v>
      </c>
      <c r="L114" s="9">
        <v>1.0</v>
      </c>
      <c r="M114" s="12">
        <v>200.0</v>
      </c>
      <c r="N114" s="13">
        <f t="shared" si="1"/>
        <v>200</v>
      </c>
      <c r="O114" s="14" t="s">
        <v>29</v>
      </c>
      <c r="P114" s="13">
        <v>0.0</v>
      </c>
      <c r="Q114" s="13">
        <f t="shared" si="2"/>
        <v>200</v>
      </c>
      <c r="R114" s="13">
        <f t="shared" si="3"/>
        <v>26</v>
      </c>
      <c r="S114" s="13">
        <f t="shared" si="4"/>
        <v>226</v>
      </c>
      <c r="U114" s="6"/>
    </row>
    <row r="115" ht="22.5" customHeight="1">
      <c r="A115" s="4" t="s">
        <v>21</v>
      </c>
      <c r="B115" s="5" t="s">
        <v>198</v>
      </c>
      <c r="C115" s="5" t="s">
        <v>204</v>
      </c>
      <c r="D115" s="6" t="s">
        <v>208</v>
      </c>
      <c r="F115" s="16"/>
      <c r="G115" s="8" t="b">
        <v>0</v>
      </c>
      <c r="H115" s="8" t="b">
        <v>0</v>
      </c>
      <c r="I115" s="9">
        <v>1.0</v>
      </c>
      <c r="J115" s="10" t="s">
        <v>139</v>
      </c>
      <c r="K115" s="11" t="s">
        <v>29</v>
      </c>
      <c r="L115" s="9">
        <v>1.0</v>
      </c>
      <c r="M115" s="12">
        <v>350.0</v>
      </c>
      <c r="N115" s="13">
        <f t="shared" si="1"/>
        <v>350</v>
      </c>
      <c r="O115" s="15" t="s">
        <v>29</v>
      </c>
      <c r="P115" s="13">
        <v>0.0</v>
      </c>
      <c r="Q115" s="13">
        <f t="shared" si="2"/>
        <v>350</v>
      </c>
      <c r="R115" s="13">
        <f t="shared" si="3"/>
        <v>45.5</v>
      </c>
      <c r="S115" s="13">
        <f t="shared" si="4"/>
        <v>395.5</v>
      </c>
      <c r="U115" s="6"/>
    </row>
    <row r="116" ht="22.5" customHeight="1">
      <c r="A116" s="4" t="s">
        <v>21</v>
      </c>
      <c r="B116" s="5" t="s">
        <v>198</v>
      </c>
      <c r="C116" s="5" t="s">
        <v>204</v>
      </c>
      <c r="D116" s="6" t="s">
        <v>209</v>
      </c>
      <c r="F116" s="16"/>
      <c r="G116" s="8" t="b">
        <v>0</v>
      </c>
      <c r="H116" s="8" t="b">
        <v>0</v>
      </c>
      <c r="I116" s="9">
        <v>20.0</v>
      </c>
      <c r="J116" s="10" t="s">
        <v>45</v>
      </c>
      <c r="K116" s="11" t="s">
        <v>28</v>
      </c>
      <c r="L116" s="9">
        <v>2.0</v>
      </c>
      <c r="M116" s="12">
        <v>0.0</v>
      </c>
      <c r="N116" s="13">
        <f t="shared" si="1"/>
        <v>0</v>
      </c>
      <c r="O116" s="14" t="s">
        <v>29</v>
      </c>
      <c r="P116" s="13">
        <v>0.0</v>
      </c>
      <c r="Q116" s="13">
        <f t="shared" si="2"/>
        <v>0</v>
      </c>
      <c r="R116" s="13">
        <f t="shared" si="3"/>
        <v>0</v>
      </c>
      <c r="S116" s="13">
        <f t="shared" si="4"/>
        <v>0</v>
      </c>
      <c r="U116" s="6"/>
    </row>
    <row r="117" ht="22.5" customHeight="1">
      <c r="A117" s="4" t="s">
        <v>21</v>
      </c>
      <c r="B117" s="5" t="s">
        <v>198</v>
      </c>
      <c r="C117" s="5" t="s">
        <v>23</v>
      </c>
      <c r="D117" s="6" t="s">
        <v>210</v>
      </c>
      <c r="F117" s="16"/>
      <c r="G117" s="8" t="b">
        <v>0</v>
      </c>
      <c r="H117" s="8" t="b">
        <v>0</v>
      </c>
      <c r="I117" s="9">
        <v>15.0</v>
      </c>
      <c r="J117" s="10" t="s">
        <v>27</v>
      </c>
      <c r="K117" s="11" t="s">
        <v>28</v>
      </c>
      <c r="L117" s="9">
        <v>2.0</v>
      </c>
      <c r="M117" s="12">
        <v>125.0</v>
      </c>
      <c r="N117" s="13">
        <f t="shared" si="1"/>
        <v>3750</v>
      </c>
      <c r="O117" s="15" t="s">
        <v>29</v>
      </c>
      <c r="P117" s="13">
        <v>0.0</v>
      </c>
      <c r="Q117" s="13">
        <f t="shared" si="2"/>
        <v>3750</v>
      </c>
      <c r="R117" s="13">
        <f t="shared" si="3"/>
        <v>487.5</v>
      </c>
      <c r="S117" s="13">
        <f t="shared" si="4"/>
        <v>4237.5</v>
      </c>
      <c r="T117" s="29" t="s">
        <v>211</v>
      </c>
      <c r="U117" s="6"/>
    </row>
    <row r="118" ht="22.5" customHeight="1">
      <c r="A118" s="4" t="s">
        <v>21</v>
      </c>
      <c r="B118" s="5" t="s">
        <v>198</v>
      </c>
      <c r="C118" s="38" t="s">
        <v>212</v>
      </c>
      <c r="D118" s="39" t="s">
        <v>213</v>
      </c>
      <c r="F118" s="16"/>
      <c r="G118" s="8" t="b">
        <v>0</v>
      </c>
      <c r="H118" s="8" t="b">
        <v>0</v>
      </c>
      <c r="I118" s="9">
        <v>1.0</v>
      </c>
      <c r="J118" s="10" t="s">
        <v>108</v>
      </c>
      <c r="K118" s="11" t="s">
        <v>29</v>
      </c>
      <c r="L118" s="9">
        <v>1.0</v>
      </c>
      <c r="M118" s="12">
        <v>27205.63</v>
      </c>
      <c r="N118" s="13">
        <f t="shared" si="1"/>
        <v>27205.63</v>
      </c>
      <c r="O118" s="14" t="s">
        <v>29</v>
      </c>
      <c r="P118" s="13">
        <v>0.0</v>
      </c>
      <c r="Q118" s="13">
        <f t="shared" si="2"/>
        <v>27205.63</v>
      </c>
      <c r="R118" s="13">
        <f t="shared" si="3"/>
        <v>3536.7319</v>
      </c>
      <c r="S118" s="13">
        <f t="shared" si="4"/>
        <v>30742.3619</v>
      </c>
      <c r="T118" s="29" t="s">
        <v>214</v>
      </c>
      <c r="U118" s="6"/>
    </row>
    <row r="119" ht="22.5" customHeight="1">
      <c r="A119" s="4" t="s">
        <v>21</v>
      </c>
      <c r="B119" s="5" t="s">
        <v>198</v>
      </c>
      <c r="C119" s="38" t="s">
        <v>212</v>
      </c>
      <c r="D119" s="39" t="s">
        <v>215</v>
      </c>
      <c r="F119" s="16"/>
      <c r="G119" s="8" t="b">
        <v>0</v>
      </c>
      <c r="H119" s="8" t="b">
        <v>0</v>
      </c>
      <c r="I119" s="9">
        <v>1.0</v>
      </c>
      <c r="J119" s="10" t="s">
        <v>108</v>
      </c>
      <c r="K119" s="11" t="s">
        <v>29</v>
      </c>
      <c r="L119" s="9">
        <v>1.0</v>
      </c>
      <c r="M119" s="12">
        <v>17725.0</v>
      </c>
      <c r="N119" s="13">
        <f t="shared" si="1"/>
        <v>17725</v>
      </c>
      <c r="O119" s="15" t="s">
        <v>29</v>
      </c>
      <c r="P119" s="13">
        <v>0.0</v>
      </c>
      <c r="Q119" s="13">
        <f t="shared" si="2"/>
        <v>17725</v>
      </c>
      <c r="R119" s="13">
        <f t="shared" si="3"/>
        <v>2304.25</v>
      </c>
      <c r="S119" s="13">
        <f t="shared" si="4"/>
        <v>20029.25</v>
      </c>
      <c r="T119" s="29" t="s">
        <v>216</v>
      </c>
      <c r="U119" s="6"/>
    </row>
    <row r="120" ht="22.5" customHeight="1">
      <c r="A120" s="4" t="s">
        <v>21</v>
      </c>
      <c r="B120" s="5" t="s">
        <v>198</v>
      </c>
      <c r="C120" s="38" t="s">
        <v>212</v>
      </c>
      <c r="D120" s="6" t="s">
        <v>217</v>
      </c>
      <c r="F120" s="16"/>
      <c r="G120" s="8" t="b">
        <v>0</v>
      </c>
      <c r="H120" s="8" t="b">
        <v>0</v>
      </c>
      <c r="I120" s="9">
        <v>1.0</v>
      </c>
      <c r="J120" s="10" t="s">
        <v>139</v>
      </c>
      <c r="K120" s="11" t="s">
        <v>29</v>
      </c>
      <c r="L120" s="9">
        <v>1.0</v>
      </c>
      <c r="M120" s="12">
        <v>800.0</v>
      </c>
      <c r="N120" s="13">
        <f t="shared" si="1"/>
        <v>800</v>
      </c>
      <c r="O120" s="14" t="s">
        <v>29</v>
      </c>
      <c r="P120" s="13">
        <v>0.0</v>
      </c>
      <c r="Q120" s="13">
        <f t="shared" si="2"/>
        <v>800</v>
      </c>
      <c r="R120" s="13">
        <f t="shared" si="3"/>
        <v>104</v>
      </c>
      <c r="S120" s="13">
        <f t="shared" si="4"/>
        <v>904</v>
      </c>
      <c r="U120" s="6"/>
    </row>
    <row r="121" ht="22.5" customHeight="1">
      <c r="A121" s="4" t="s">
        <v>21</v>
      </c>
      <c r="B121" s="5" t="s">
        <v>198</v>
      </c>
      <c r="C121" s="38" t="s">
        <v>212</v>
      </c>
      <c r="D121" s="6" t="s">
        <v>218</v>
      </c>
      <c r="F121" s="16"/>
      <c r="G121" s="8" t="b">
        <v>0</v>
      </c>
      <c r="H121" s="8" t="b">
        <v>0</v>
      </c>
      <c r="I121" s="9">
        <v>1.0</v>
      </c>
      <c r="J121" s="10" t="s">
        <v>139</v>
      </c>
      <c r="K121" s="11" t="s">
        <v>29</v>
      </c>
      <c r="L121" s="9">
        <v>1.0</v>
      </c>
      <c r="M121" s="12">
        <v>300.0</v>
      </c>
      <c r="N121" s="13">
        <f t="shared" si="1"/>
        <v>300</v>
      </c>
      <c r="O121" s="15" t="s">
        <v>29</v>
      </c>
      <c r="P121" s="13">
        <v>0.0</v>
      </c>
      <c r="Q121" s="13">
        <f t="shared" si="2"/>
        <v>300</v>
      </c>
      <c r="R121" s="13">
        <f t="shared" si="3"/>
        <v>39</v>
      </c>
      <c r="S121" s="13">
        <f t="shared" si="4"/>
        <v>339</v>
      </c>
    </row>
    <row r="122" ht="22.5" customHeight="1">
      <c r="A122" s="4" t="s">
        <v>21</v>
      </c>
      <c r="B122" s="5" t="s">
        <v>219</v>
      </c>
      <c r="C122" s="38" t="s">
        <v>212</v>
      </c>
      <c r="D122" s="6" t="s">
        <v>220</v>
      </c>
      <c r="F122" s="16"/>
      <c r="G122" s="8" t="b">
        <v>0</v>
      </c>
      <c r="H122" s="8" t="b">
        <v>0</v>
      </c>
      <c r="I122" s="9">
        <v>1.0</v>
      </c>
      <c r="J122" s="10" t="s">
        <v>139</v>
      </c>
      <c r="K122" s="11" t="s">
        <v>29</v>
      </c>
      <c r="L122" s="9">
        <v>1.0</v>
      </c>
      <c r="M122" s="12">
        <v>200.0</v>
      </c>
      <c r="N122" s="13">
        <f t="shared" si="1"/>
        <v>200</v>
      </c>
      <c r="O122" s="14" t="s">
        <v>29</v>
      </c>
      <c r="P122" s="13">
        <v>0.0</v>
      </c>
      <c r="Q122" s="13">
        <f t="shared" si="2"/>
        <v>200</v>
      </c>
      <c r="R122" s="13">
        <f t="shared" si="3"/>
        <v>26</v>
      </c>
      <c r="S122" s="13">
        <f t="shared" si="4"/>
        <v>226</v>
      </c>
    </row>
    <row r="123" ht="22.5" customHeight="1">
      <c r="A123" s="4" t="s">
        <v>21</v>
      </c>
      <c r="B123" s="5" t="s">
        <v>219</v>
      </c>
      <c r="C123" s="5" t="s">
        <v>204</v>
      </c>
      <c r="D123" s="6" t="s">
        <v>221</v>
      </c>
      <c r="F123" s="16"/>
      <c r="G123" s="8" t="b">
        <v>0</v>
      </c>
      <c r="H123" s="8" t="b">
        <v>0</v>
      </c>
      <c r="I123" s="9">
        <v>2.0</v>
      </c>
      <c r="J123" s="10" t="s">
        <v>45</v>
      </c>
      <c r="K123" s="11" t="s">
        <v>29</v>
      </c>
      <c r="L123" s="9">
        <v>1.0</v>
      </c>
      <c r="M123" s="12">
        <v>177.99</v>
      </c>
      <c r="N123" s="13">
        <f t="shared" si="1"/>
        <v>355.98</v>
      </c>
      <c r="O123" s="15" t="s">
        <v>29</v>
      </c>
      <c r="P123" s="13">
        <v>0.0</v>
      </c>
      <c r="Q123" s="13">
        <f t="shared" si="2"/>
        <v>355.98</v>
      </c>
      <c r="R123" s="13">
        <f t="shared" si="3"/>
        <v>46.2774</v>
      </c>
      <c r="S123" s="13">
        <f t="shared" si="4"/>
        <v>402.2574</v>
      </c>
    </row>
    <row r="124" ht="22.5" customHeight="1">
      <c r="A124" s="4" t="s">
        <v>21</v>
      </c>
      <c r="B124" s="5" t="s">
        <v>219</v>
      </c>
      <c r="C124" s="5" t="s">
        <v>109</v>
      </c>
      <c r="D124" s="6" t="s">
        <v>203</v>
      </c>
      <c r="F124" s="16"/>
      <c r="G124" s="8" t="b">
        <v>0</v>
      </c>
      <c r="H124" s="8" t="b">
        <v>0</v>
      </c>
      <c r="I124" s="9">
        <v>1.0</v>
      </c>
      <c r="J124" s="10" t="s">
        <v>108</v>
      </c>
      <c r="K124" s="11" t="s">
        <v>29</v>
      </c>
      <c r="L124" s="9">
        <v>1.0</v>
      </c>
      <c r="M124" s="12">
        <v>99.99</v>
      </c>
      <c r="N124" s="13">
        <f t="shared" si="1"/>
        <v>99.99</v>
      </c>
      <c r="O124" s="14" t="s">
        <v>28</v>
      </c>
      <c r="P124" s="13">
        <v>19.998</v>
      </c>
      <c r="Q124" s="13">
        <f t="shared" si="2"/>
        <v>119.988</v>
      </c>
      <c r="R124" s="13">
        <f t="shared" si="3"/>
        <v>15.59844</v>
      </c>
      <c r="S124" s="13">
        <f t="shared" si="4"/>
        <v>135.58644</v>
      </c>
      <c r="U124" s="6"/>
    </row>
    <row r="125" ht="22.5" customHeight="1">
      <c r="A125" s="4" t="s">
        <v>21</v>
      </c>
      <c r="B125" s="5" t="s">
        <v>219</v>
      </c>
      <c r="C125" s="5" t="s">
        <v>52</v>
      </c>
      <c r="D125" s="6" t="s">
        <v>222</v>
      </c>
      <c r="F125" s="16"/>
      <c r="G125" s="8" t="b">
        <v>0</v>
      </c>
      <c r="H125" s="8" t="b">
        <v>0</v>
      </c>
      <c r="I125" s="9">
        <v>2.0</v>
      </c>
      <c r="J125" s="10" t="s">
        <v>45</v>
      </c>
      <c r="K125" s="11" t="s">
        <v>28</v>
      </c>
      <c r="L125" s="9">
        <v>2.0</v>
      </c>
      <c r="M125" s="12">
        <v>3.0</v>
      </c>
      <c r="N125" s="13">
        <f t="shared" si="1"/>
        <v>12</v>
      </c>
      <c r="O125" s="15" t="s">
        <v>29</v>
      </c>
      <c r="P125" s="13">
        <v>0.0</v>
      </c>
      <c r="Q125" s="13">
        <f t="shared" si="2"/>
        <v>12</v>
      </c>
      <c r="R125" s="13">
        <f t="shared" si="3"/>
        <v>1.56</v>
      </c>
      <c r="S125" s="13">
        <f t="shared" si="4"/>
        <v>13.56</v>
      </c>
      <c r="T125" s="20" t="s">
        <v>62</v>
      </c>
      <c r="U125" s="6"/>
    </row>
    <row r="126" ht="22.5" customHeight="1">
      <c r="A126" s="4" t="s">
        <v>21</v>
      </c>
      <c r="B126" s="5" t="s">
        <v>219</v>
      </c>
      <c r="C126" s="5" t="s">
        <v>52</v>
      </c>
      <c r="D126" s="6" t="s">
        <v>223</v>
      </c>
      <c r="F126" s="7" t="s">
        <v>61</v>
      </c>
      <c r="G126" s="8" t="b">
        <v>0</v>
      </c>
      <c r="H126" s="8" t="b">
        <v>0</v>
      </c>
      <c r="I126" s="9">
        <v>10.0</v>
      </c>
      <c r="J126" s="10" t="s">
        <v>45</v>
      </c>
      <c r="K126" s="11" t="s">
        <v>28</v>
      </c>
      <c r="L126" s="9">
        <v>2.0</v>
      </c>
      <c r="M126" s="12">
        <v>10.0</v>
      </c>
      <c r="N126" s="13">
        <f t="shared" si="1"/>
        <v>200</v>
      </c>
      <c r="O126" s="23" t="s">
        <v>28</v>
      </c>
      <c r="P126" s="13">
        <v>40.0</v>
      </c>
      <c r="Q126" s="13">
        <f t="shared" si="2"/>
        <v>240</v>
      </c>
      <c r="R126" s="13">
        <f t="shared" si="3"/>
        <v>31.2</v>
      </c>
      <c r="S126" s="13">
        <f t="shared" si="4"/>
        <v>271.2</v>
      </c>
      <c r="U126" s="6"/>
    </row>
    <row r="127" ht="22.5" customHeight="1">
      <c r="A127" s="4" t="s">
        <v>21</v>
      </c>
      <c r="B127" s="5" t="s">
        <v>219</v>
      </c>
      <c r="C127" s="5" t="s">
        <v>204</v>
      </c>
      <c r="D127" s="6" t="s">
        <v>207</v>
      </c>
      <c r="F127" s="16"/>
      <c r="G127" s="8" t="b">
        <v>0</v>
      </c>
      <c r="H127" s="8" t="b">
        <v>0</v>
      </c>
      <c r="I127" s="9">
        <v>1.0</v>
      </c>
      <c r="J127" s="10" t="s">
        <v>139</v>
      </c>
      <c r="K127" s="11" t="s">
        <v>29</v>
      </c>
      <c r="L127" s="9">
        <v>1.0</v>
      </c>
      <c r="M127" s="12">
        <v>200.0</v>
      </c>
      <c r="N127" s="13">
        <f t="shared" si="1"/>
        <v>200</v>
      </c>
      <c r="O127" s="15" t="s">
        <v>29</v>
      </c>
      <c r="P127" s="13">
        <v>0.0</v>
      </c>
      <c r="Q127" s="13">
        <f t="shared" si="2"/>
        <v>200</v>
      </c>
      <c r="R127" s="13">
        <f t="shared" si="3"/>
        <v>26</v>
      </c>
      <c r="S127" s="13">
        <f t="shared" si="4"/>
        <v>226</v>
      </c>
      <c r="U127" s="6"/>
    </row>
    <row r="128" ht="22.5" customHeight="1">
      <c r="A128" s="4" t="s">
        <v>21</v>
      </c>
      <c r="B128" s="5" t="s">
        <v>219</v>
      </c>
      <c r="C128" s="5" t="s">
        <v>204</v>
      </c>
      <c r="D128" s="6" t="s">
        <v>208</v>
      </c>
      <c r="F128" s="16"/>
      <c r="G128" s="8" t="b">
        <v>0</v>
      </c>
      <c r="H128" s="8" t="b">
        <v>0</v>
      </c>
      <c r="I128" s="9">
        <v>1.0</v>
      </c>
      <c r="J128" s="10" t="s">
        <v>139</v>
      </c>
      <c r="K128" s="11" t="s">
        <v>29</v>
      </c>
      <c r="L128" s="9">
        <v>1.0</v>
      </c>
      <c r="M128" s="12">
        <v>350.0</v>
      </c>
      <c r="N128" s="13">
        <f t="shared" si="1"/>
        <v>350</v>
      </c>
      <c r="O128" s="14" t="s">
        <v>29</v>
      </c>
      <c r="P128" s="13">
        <v>0.0</v>
      </c>
      <c r="Q128" s="13">
        <f t="shared" si="2"/>
        <v>350</v>
      </c>
      <c r="R128" s="13">
        <f t="shared" si="3"/>
        <v>45.5</v>
      </c>
      <c r="S128" s="13">
        <f t="shared" si="4"/>
        <v>395.5</v>
      </c>
      <c r="U128" s="6"/>
    </row>
    <row r="129" ht="22.5" customHeight="1">
      <c r="A129" s="4" t="s">
        <v>21</v>
      </c>
      <c r="B129" s="5" t="s">
        <v>224</v>
      </c>
      <c r="C129" s="5" t="s">
        <v>52</v>
      </c>
      <c r="D129" s="21" t="s">
        <v>225</v>
      </c>
      <c r="F129" s="16"/>
      <c r="G129" s="8" t="b">
        <v>0</v>
      </c>
      <c r="H129" s="8" t="b">
        <v>0</v>
      </c>
      <c r="I129" s="9">
        <v>5.0</v>
      </c>
      <c r="J129" s="10" t="s">
        <v>174</v>
      </c>
      <c r="K129" s="11" t="s">
        <v>28</v>
      </c>
      <c r="L129" s="9">
        <v>2.0</v>
      </c>
      <c r="M129" s="12">
        <v>0.0</v>
      </c>
      <c r="N129" s="13">
        <f t="shared" si="1"/>
        <v>0</v>
      </c>
      <c r="O129" s="15" t="s">
        <v>29</v>
      </c>
      <c r="P129" s="13">
        <v>0.0</v>
      </c>
      <c r="Q129" s="13">
        <f t="shared" si="2"/>
        <v>0</v>
      </c>
      <c r="R129" s="13">
        <f t="shared" si="3"/>
        <v>0</v>
      </c>
      <c r="S129" s="13">
        <f t="shared" si="4"/>
        <v>0</v>
      </c>
      <c r="T129" s="10" t="s">
        <v>58</v>
      </c>
    </row>
    <row r="130" ht="22.5" customHeight="1">
      <c r="A130" s="4" t="s">
        <v>21</v>
      </c>
      <c r="B130" s="5" t="s">
        <v>224</v>
      </c>
      <c r="C130" s="5" t="s">
        <v>52</v>
      </c>
      <c r="D130" s="6" t="s">
        <v>226</v>
      </c>
      <c r="F130" s="16"/>
      <c r="G130" s="8" t="b">
        <v>0</v>
      </c>
      <c r="H130" s="8" t="b">
        <v>0</v>
      </c>
      <c r="I130" s="9">
        <v>1.0</v>
      </c>
      <c r="J130" s="10" t="s">
        <v>45</v>
      </c>
      <c r="K130" s="11" t="s">
        <v>28</v>
      </c>
      <c r="L130" s="9">
        <v>2.0</v>
      </c>
      <c r="M130" s="12">
        <v>0.0</v>
      </c>
      <c r="N130" s="13">
        <f t="shared" si="1"/>
        <v>0</v>
      </c>
      <c r="O130" s="14" t="s">
        <v>29</v>
      </c>
      <c r="P130" s="13">
        <v>0.0</v>
      </c>
      <c r="Q130" s="13">
        <f t="shared" si="2"/>
        <v>0</v>
      </c>
      <c r="R130" s="13">
        <f t="shared" si="3"/>
        <v>0</v>
      </c>
      <c r="S130" s="13">
        <f t="shared" si="4"/>
        <v>0</v>
      </c>
      <c r="T130" s="10" t="s">
        <v>58</v>
      </c>
      <c r="U130" s="6"/>
    </row>
    <row r="131" ht="22.5" customHeight="1">
      <c r="A131" s="4" t="s">
        <v>21</v>
      </c>
      <c r="B131" s="5" t="s">
        <v>224</v>
      </c>
      <c r="C131" s="5" t="s">
        <v>43</v>
      </c>
      <c r="D131" s="6" t="s">
        <v>184</v>
      </c>
      <c r="F131" s="16"/>
      <c r="G131" s="8" t="b">
        <v>1</v>
      </c>
      <c r="H131" s="8" t="b">
        <v>0</v>
      </c>
      <c r="I131" s="9">
        <v>3.0</v>
      </c>
      <c r="J131" s="18" t="s">
        <v>45</v>
      </c>
      <c r="K131" s="11" t="s">
        <v>28</v>
      </c>
      <c r="L131" s="9">
        <v>2.0</v>
      </c>
      <c r="M131" s="12">
        <v>25.0</v>
      </c>
      <c r="N131" s="13">
        <f t="shared" si="1"/>
        <v>150</v>
      </c>
      <c r="O131" s="15" t="s">
        <v>28</v>
      </c>
      <c r="P131" s="13">
        <v>30.0</v>
      </c>
      <c r="Q131" s="13">
        <f t="shared" si="2"/>
        <v>180</v>
      </c>
      <c r="R131" s="13">
        <f t="shared" si="3"/>
        <v>23.4</v>
      </c>
      <c r="S131" s="13">
        <f t="shared" si="4"/>
        <v>203.4</v>
      </c>
      <c r="T131" s="26" t="s">
        <v>131</v>
      </c>
      <c r="U131" s="6"/>
    </row>
    <row r="132" ht="22.5" customHeight="1">
      <c r="A132" s="4" t="s">
        <v>21</v>
      </c>
      <c r="B132" s="5" t="s">
        <v>224</v>
      </c>
      <c r="C132" s="5" t="s">
        <v>43</v>
      </c>
      <c r="D132" s="6" t="s">
        <v>185</v>
      </c>
      <c r="F132" s="16"/>
      <c r="G132" s="8" t="b">
        <v>0</v>
      </c>
      <c r="H132" s="8" t="b">
        <v>0</v>
      </c>
      <c r="I132" s="9">
        <v>1.0</v>
      </c>
      <c r="J132" s="18" t="s">
        <v>45</v>
      </c>
      <c r="K132" s="11" t="s">
        <v>28</v>
      </c>
      <c r="L132" s="9">
        <v>2.0</v>
      </c>
      <c r="M132" s="12">
        <v>15.0</v>
      </c>
      <c r="N132" s="13">
        <f t="shared" si="1"/>
        <v>30</v>
      </c>
      <c r="O132" s="14" t="s">
        <v>28</v>
      </c>
      <c r="P132" s="13">
        <v>6.0</v>
      </c>
      <c r="Q132" s="13">
        <f t="shared" si="2"/>
        <v>36</v>
      </c>
      <c r="R132" s="13">
        <f t="shared" si="3"/>
        <v>4.68</v>
      </c>
      <c r="S132" s="13">
        <f t="shared" si="4"/>
        <v>40.68</v>
      </c>
      <c r="T132" s="26" t="s">
        <v>131</v>
      </c>
      <c r="U132" s="6"/>
    </row>
    <row r="133" ht="22.5" customHeight="1">
      <c r="A133" s="4" t="s">
        <v>21</v>
      </c>
      <c r="B133" s="5" t="s">
        <v>224</v>
      </c>
      <c r="C133" s="5" t="s">
        <v>43</v>
      </c>
      <c r="D133" s="6" t="s">
        <v>227</v>
      </c>
      <c r="F133" s="16"/>
      <c r="G133" s="8" t="b">
        <v>0</v>
      </c>
      <c r="H133" s="8" t="b">
        <v>0</v>
      </c>
      <c r="I133" s="9">
        <v>1.0</v>
      </c>
      <c r="J133" s="18" t="s">
        <v>45</v>
      </c>
      <c r="K133" s="11" t="s">
        <v>28</v>
      </c>
      <c r="L133" s="9">
        <v>2.0</v>
      </c>
      <c r="M133" s="12">
        <v>300.0</v>
      </c>
      <c r="N133" s="13">
        <f t="shared" si="1"/>
        <v>600</v>
      </c>
      <c r="O133" s="23" t="s">
        <v>28</v>
      </c>
      <c r="P133" s="13">
        <v>120.0</v>
      </c>
      <c r="Q133" s="13">
        <f t="shared" si="2"/>
        <v>720</v>
      </c>
      <c r="R133" s="13">
        <f t="shared" si="3"/>
        <v>93.6</v>
      </c>
      <c r="S133" s="13">
        <f t="shared" si="4"/>
        <v>813.6</v>
      </c>
      <c r="T133" s="20" t="s">
        <v>54</v>
      </c>
      <c r="U133" s="6"/>
    </row>
    <row r="134" ht="22.5" customHeight="1">
      <c r="A134" s="4"/>
      <c r="B134" s="5"/>
      <c r="C134" s="5"/>
      <c r="D134" s="21" t="s">
        <v>228</v>
      </c>
      <c r="F134" s="16"/>
      <c r="G134" s="8" t="b">
        <v>0</v>
      </c>
      <c r="H134" s="8" t="b">
        <v>0</v>
      </c>
      <c r="I134" s="9">
        <v>1.0</v>
      </c>
      <c r="J134" s="10" t="s">
        <v>27</v>
      </c>
      <c r="K134" s="11" t="s">
        <v>28</v>
      </c>
      <c r="L134" s="9">
        <v>2.0</v>
      </c>
      <c r="M134" s="12">
        <v>0.0</v>
      </c>
      <c r="N134" s="13">
        <f t="shared" si="1"/>
        <v>0</v>
      </c>
      <c r="O134" s="14" t="s">
        <v>29</v>
      </c>
      <c r="P134" s="13">
        <v>0.0</v>
      </c>
      <c r="Q134" s="13">
        <f t="shared" si="2"/>
        <v>0</v>
      </c>
      <c r="R134" s="13">
        <f t="shared" si="3"/>
        <v>0</v>
      </c>
      <c r="S134" s="13">
        <f t="shared" si="4"/>
        <v>0</v>
      </c>
      <c r="T134" s="10" t="s">
        <v>58</v>
      </c>
      <c r="U134" s="6"/>
    </row>
    <row r="135" ht="22.5" customHeight="1">
      <c r="A135" s="4" t="s">
        <v>21</v>
      </c>
      <c r="B135" s="5" t="s">
        <v>229</v>
      </c>
      <c r="C135" s="5" t="s">
        <v>33</v>
      </c>
      <c r="D135" s="6" t="s">
        <v>168</v>
      </c>
      <c r="F135" s="16"/>
      <c r="G135" s="8" t="b">
        <v>1</v>
      </c>
      <c r="H135" s="8" t="b">
        <v>0</v>
      </c>
      <c r="I135" s="9">
        <v>2.0</v>
      </c>
      <c r="J135" s="10" t="s">
        <v>27</v>
      </c>
      <c r="K135" s="11" t="s">
        <v>28</v>
      </c>
      <c r="L135" s="9">
        <v>2.0</v>
      </c>
      <c r="M135" s="12">
        <v>0.0</v>
      </c>
      <c r="N135" s="13">
        <f t="shared" si="1"/>
        <v>0</v>
      </c>
      <c r="O135" s="15" t="s">
        <v>29</v>
      </c>
      <c r="P135" s="13">
        <v>0.0</v>
      </c>
      <c r="Q135" s="13">
        <f t="shared" si="2"/>
        <v>0</v>
      </c>
      <c r="R135" s="13">
        <f t="shared" si="3"/>
        <v>0</v>
      </c>
      <c r="S135" s="13">
        <f t="shared" si="4"/>
        <v>0</v>
      </c>
      <c r="T135" s="10" t="s">
        <v>35</v>
      </c>
      <c r="U135" s="19"/>
    </row>
    <row r="136" ht="22.5" customHeight="1">
      <c r="A136" s="4" t="s">
        <v>21</v>
      </c>
      <c r="B136" s="5" t="s">
        <v>230</v>
      </c>
      <c r="C136" s="5" t="s">
        <v>33</v>
      </c>
      <c r="D136" s="21" t="s">
        <v>231</v>
      </c>
      <c r="F136" s="16"/>
      <c r="G136" s="8" t="b">
        <v>1</v>
      </c>
      <c r="H136" s="8" t="b">
        <v>0</v>
      </c>
      <c r="I136" s="9">
        <v>1.0</v>
      </c>
      <c r="J136" s="10" t="s">
        <v>27</v>
      </c>
      <c r="K136" s="11" t="s">
        <v>28</v>
      </c>
      <c r="L136" s="9">
        <v>2.0</v>
      </c>
      <c r="M136" s="12">
        <v>0.0</v>
      </c>
      <c r="N136" s="13">
        <f t="shared" si="1"/>
        <v>0</v>
      </c>
      <c r="O136" s="14" t="s">
        <v>29</v>
      </c>
      <c r="P136" s="13">
        <v>0.0</v>
      </c>
      <c r="Q136" s="13">
        <f t="shared" si="2"/>
        <v>0</v>
      </c>
      <c r="R136" s="13">
        <f t="shared" si="3"/>
        <v>0</v>
      </c>
      <c r="S136" s="13">
        <f t="shared" si="4"/>
        <v>0</v>
      </c>
      <c r="T136" s="10" t="s">
        <v>35</v>
      </c>
      <c r="U136" s="19"/>
    </row>
    <row r="137" ht="22.5" customHeight="1">
      <c r="A137" s="4" t="s">
        <v>21</v>
      </c>
      <c r="B137" s="5" t="s">
        <v>232</v>
      </c>
      <c r="C137" s="5" t="s">
        <v>111</v>
      </c>
      <c r="D137" s="6" t="s">
        <v>233</v>
      </c>
      <c r="F137" s="16"/>
      <c r="G137" s="8" t="b">
        <v>0</v>
      </c>
      <c r="H137" s="8" t="b">
        <v>0</v>
      </c>
      <c r="I137" s="9">
        <v>1.0</v>
      </c>
      <c r="J137" s="10" t="s">
        <v>108</v>
      </c>
      <c r="K137" s="11" t="s">
        <v>29</v>
      </c>
      <c r="L137" s="9">
        <v>1.0</v>
      </c>
      <c r="M137" s="12">
        <v>0.0</v>
      </c>
      <c r="N137" s="13">
        <f t="shared" si="1"/>
        <v>0</v>
      </c>
      <c r="O137" s="23" t="s">
        <v>28</v>
      </c>
      <c r="P137" s="13">
        <v>0.0</v>
      </c>
      <c r="Q137" s="13">
        <f t="shared" si="2"/>
        <v>0</v>
      </c>
      <c r="R137" s="13">
        <f t="shared" si="3"/>
        <v>0</v>
      </c>
      <c r="S137" s="13">
        <f t="shared" si="4"/>
        <v>0</v>
      </c>
      <c r="T137" s="10" t="s">
        <v>58</v>
      </c>
      <c r="U137" s="19"/>
    </row>
    <row r="138" ht="22.5" customHeight="1">
      <c r="A138" s="4" t="s">
        <v>21</v>
      </c>
      <c r="B138" s="5" t="s">
        <v>234</v>
      </c>
      <c r="C138" s="5" t="s">
        <v>111</v>
      </c>
      <c r="D138" s="6" t="s">
        <v>235</v>
      </c>
      <c r="F138" s="16"/>
      <c r="G138" s="8" t="b">
        <v>0</v>
      </c>
      <c r="H138" s="8" t="b">
        <v>0</v>
      </c>
      <c r="I138" s="9">
        <v>1.0</v>
      </c>
      <c r="J138" s="10" t="s">
        <v>108</v>
      </c>
      <c r="K138" s="11" t="s">
        <v>29</v>
      </c>
      <c r="L138" s="9">
        <v>1.0</v>
      </c>
      <c r="M138" s="12">
        <v>0.0</v>
      </c>
      <c r="N138" s="13">
        <f t="shared" si="1"/>
        <v>0</v>
      </c>
      <c r="O138" s="23" t="s">
        <v>28</v>
      </c>
      <c r="P138" s="13">
        <v>0.0</v>
      </c>
      <c r="Q138" s="13">
        <f t="shared" si="2"/>
        <v>0</v>
      </c>
      <c r="R138" s="13">
        <f t="shared" si="3"/>
        <v>0</v>
      </c>
      <c r="S138" s="13">
        <f t="shared" si="4"/>
        <v>0</v>
      </c>
      <c r="U138" s="6"/>
    </row>
    <row r="139" ht="22.5" customHeight="1">
      <c r="A139" s="4" t="s">
        <v>21</v>
      </c>
      <c r="B139" s="5" t="s">
        <v>230</v>
      </c>
      <c r="C139" s="5" t="s">
        <v>33</v>
      </c>
      <c r="D139" s="6" t="s">
        <v>168</v>
      </c>
      <c r="F139" s="16"/>
      <c r="G139" s="8" t="b">
        <v>1</v>
      </c>
      <c r="H139" s="8" t="b">
        <v>0</v>
      </c>
      <c r="I139" s="9">
        <v>2.0</v>
      </c>
      <c r="J139" s="10" t="s">
        <v>27</v>
      </c>
      <c r="K139" s="11" t="s">
        <v>28</v>
      </c>
      <c r="L139" s="9">
        <v>2.0</v>
      </c>
      <c r="M139" s="12">
        <v>0.0</v>
      </c>
      <c r="N139" s="13">
        <f t="shared" si="1"/>
        <v>0</v>
      </c>
      <c r="O139" s="15" t="s">
        <v>29</v>
      </c>
      <c r="P139" s="13">
        <v>0.0</v>
      </c>
      <c r="Q139" s="13">
        <f t="shared" si="2"/>
        <v>0</v>
      </c>
      <c r="R139" s="13">
        <f t="shared" si="3"/>
        <v>0</v>
      </c>
      <c r="S139" s="13">
        <f t="shared" si="4"/>
        <v>0</v>
      </c>
      <c r="T139" s="10" t="s">
        <v>35</v>
      </c>
      <c r="U139" s="6"/>
    </row>
    <row r="140" ht="22.5" customHeight="1">
      <c r="A140" s="4" t="s">
        <v>21</v>
      </c>
      <c r="B140" s="5" t="s">
        <v>230</v>
      </c>
      <c r="C140" s="5" t="s">
        <v>33</v>
      </c>
      <c r="D140" s="21" t="s">
        <v>228</v>
      </c>
      <c r="F140" s="16"/>
      <c r="G140" s="8" t="b">
        <v>1</v>
      </c>
      <c r="H140" s="8" t="b">
        <v>0</v>
      </c>
      <c r="I140" s="9">
        <v>1.0</v>
      </c>
      <c r="J140" s="10" t="s">
        <v>27</v>
      </c>
      <c r="K140" s="11" t="s">
        <v>28</v>
      </c>
      <c r="L140" s="9">
        <v>2.0</v>
      </c>
      <c r="M140" s="12">
        <v>0.0</v>
      </c>
      <c r="N140" s="13">
        <f t="shared" si="1"/>
        <v>0</v>
      </c>
      <c r="O140" s="14" t="s">
        <v>29</v>
      </c>
      <c r="P140" s="13">
        <v>0.0</v>
      </c>
      <c r="Q140" s="13">
        <f t="shared" si="2"/>
        <v>0</v>
      </c>
      <c r="R140" s="13">
        <f t="shared" si="3"/>
        <v>0</v>
      </c>
      <c r="S140" s="13">
        <f t="shared" si="4"/>
        <v>0</v>
      </c>
      <c r="T140" s="10" t="s">
        <v>58</v>
      </c>
      <c r="U140" s="6"/>
    </row>
    <row r="141" ht="22.5" customHeight="1">
      <c r="A141" s="4"/>
      <c r="B141" s="5"/>
      <c r="C141" s="5"/>
      <c r="D141" s="21" t="s">
        <v>231</v>
      </c>
      <c r="F141" s="16"/>
      <c r="G141" s="8" t="b">
        <v>0</v>
      </c>
      <c r="H141" s="8" t="b">
        <v>0</v>
      </c>
      <c r="I141" s="9">
        <v>1.0</v>
      </c>
      <c r="J141" s="10" t="s">
        <v>27</v>
      </c>
      <c r="K141" s="11" t="s">
        <v>28</v>
      </c>
      <c r="L141" s="9">
        <v>2.0</v>
      </c>
      <c r="M141" s="12">
        <v>0.0</v>
      </c>
      <c r="N141" s="13">
        <f t="shared" si="1"/>
        <v>0</v>
      </c>
      <c r="O141" s="15" t="s">
        <v>29</v>
      </c>
      <c r="P141" s="13">
        <v>0.0</v>
      </c>
      <c r="Q141" s="13">
        <f t="shared" si="2"/>
        <v>0</v>
      </c>
      <c r="R141" s="13">
        <f t="shared" si="3"/>
        <v>0</v>
      </c>
      <c r="S141" s="13">
        <f t="shared" si="4"/>
        <v>0</v>
      </c>
      <c r="T141" s="10" t="s">
        <v>35</v>
      </c>
      <c r="U141" s="6"/>
    </row>
    <row r="142" ht="22.5" customHeight="1">
      <c r="A142" s="4" t="s">
        <v>21</v>
      </c>
      <c r="B142" s="5" t="s">
        <v>236</v>
      </c>
      <c r="C142" s="5" t="s">
        <v>64</v>
      </c>
      <c r="D142" s="6" t="s">
        <v>65</v>
      </c>
      <c r="F142" s="16"/>
      <c r="G142" s="8" t="b">
        <v>0</v>
      </c>
      <c r="H142" s="8" t="b">
        <v>0</v>
      </c>
      <c r="I142" s="9">
        <v>2.0</v>
      </c>
      <c r="J142" s="10" t="s">
        <v>27</v>
      </c>
      <c r="K142" s="11" t="s">
        <v>28</v>
      </c>
      <c r="L142" s="9">
        <v>2.0</v>
      </c>
      <c r="M142" s="12">
        <v>30.0</v>
      </c>
      <c r="N142" s="13">
        <f t="shared" si="1"/>
        <v>120</v>
      </c>
      <c r="O142" s="14" t="s">
        <v>29</v>
      </c>
      <c r="P142" s="13">
        <v>0.0</v>
      </c>
      <c r="Q142" s="13">
        <f t="shared" si="2"/>
        <v>120</v>
      </c>
      <c r="R142" s="13">
        <f t="shared" si="3"/>
        <v>15.6</v>
      </c>
      <c r="S142" s="13">
        <f t="shared" si="4"/>
        <v>135.6</v>
      </c>
      <c r="T142" s="24" t="s">
        <v>66</v>
      </c>
      <c r="U142" s="6"/>
    </row>
    <row r="143" ht="22.5" customHeight="1">
      <c r="A143" s="4" t="s">
        <v>21</v>
      </c>
      <c r="B143" s="5" t="s">
        <v>237</v>
      </c>
      <c r="C143" s="5" t="s">
        <v>238</v>
      </c>
      <c r="D143" s="6" t="s">
        <v>239</v>
      </c>
      <c r="F143" s="16"/>
      <c r="G143" s="8" t="b">
        <v>0</v>
      </c>
      <c r="H143" s="8" t="b">
        <v>0</v>
      </c>
      <c r="I143" s="9">
        <v>4.0</v>
      </c>
      <c r="J143" s="10" t="s">
        <v>45</v>
      </c>
      <c r="K143" s="11" t="s">
        <v>29</v>
      </c>
      <c r="L143" s="9">
        <v>1.0</v>
      </c>
      <c r="M143" s="12">
        <v>25.0</v>
      </c>
      <c r="N143" s="13">
        <f t="shared" si="1"/>
        <v>100</v>
      </c>
      <c r="O143" s="15" t="s">
        <v>29</v>
      </c>
      <c r="P143" s="13">
        <v>0.0</v>
      </c>
      <c r="Q143" s="13">
        <f t="shared" si="2"/>
        <v>100</v>
      </c>
      <c r="R143" s="13">
        <f t="shared" si="3"/>
        <v>13</v>
      </c>
      <c r="S143" s="13">
        <f t="shared" si="4"/>
        <v>113</v>
      </c>
      <c r="U143" s="6"/>
    </row>
    <row r="144" ht="22.5" customHeight="1">
      <c r="A144" s="4" t="s">
        <v>21</v>
      </c>
      <c r="B144" s="5" t="s">
        <v>237</v>
      </c>
      <c r="C144" s="5" t="s">
        <v>238</v>
      </c>
      <c r="D144" s="6" t="s">
        <v>240</v>
      </c>
      <c r="F144" s="16"/>
      <c r="G144" s="8" t="b">
        <v>0</v>
      </c>
      <c r="H144" s="8" t="b">
        <v>0</v>
      </c>
      <c r="I144" s="9">
        <v>50.0</v>
      </c>
      <c r="J144" s="10" t="s">
        <v>45</v>
      </c>
      <c r="K144" s="11" t="s">
        <v>29</v>
      </c>
      <c r="L144" s="9">
        <v>1.0</v>
      </c>
      <c r="M144" s="12">
        <v>19.49</v>
      </c>
      <c r="N144" s="13">
        <f t="shared" si="1"/>
        <v>974.5</v>
      </c>
      <c r="O144" s="14" t="s">
        <v>29</v>
      </c>
      <c r="P144" s="13">
        <v>0.0</v>
      </c>
      <c r="Q144" s="13">
        <f t="shared" si="2"/>
        <v>974.5</v>
      </c>
      <c r="R144" s="13">
        <f t="shared" si="3"/>
        <v>126.685</v>
      </c>
      <c r="S144" s="13">
        <f t="shared" si="4"/>
        <v>1101.185</v>
      </c>
      <c r="T144" s="40" t="s">
        <v>241</v>
      </c>
      <c r="U144" s="6"/>
    </row>
    <row r="145" ht="22.5" customHeight="1">
      <c r="A145" s="4" t="s">
        <v>21</v>
      </c>
      <c r="B145" s="5" t="s">
        <v>237</v>
      </c>
      <c r="C145" s="5" t="s">
        <v>23</v>
      </c>
      <c r="D145" s="6" t="s">
        <v>242</v>
      </c>
      <c r="F145" s="16"/>
      <c r="G145" s="8" t="b">
        <v>0</v>
      </c>
      <c r="H145" s="8" t="b">
        <v>0</v>
      </c>
      <c r="I145" s="9">
        <v>5.0</v>
      </c>
      <c r="J145" s="10" t="s">
        <v>27</v>
      </c>
      <c r="K145" s="11" t="s">
        <v>28</v>
      </c>
      <c r="L145" s="9">
        <v>2.0</v>
      </c>
      <c r="M145" s="12">
        <v>0.0</v>
      </c>
      <c r="N145" s="13">
        <f t="shared" si="1"/>
        <v>0</v>
      </c>
      <c r="O145" s="15" t="s">
        <v>29</v>
      </c>
      <c r="P145" s="13">
        <v>0.0</v>
      </c>
      <c r="Q145" s="13">
        <f t="shared" si="2"/>
        <v>0</v>
      </c>
      <c r="R145" s="13">
        <f t="shared" si="3"/>
        <v>0</v>
      </c>
      <c r="S145" s="13">
        <f t="shared" si="4"/>
        <v>0</v>
      </c>
      <c r="T145" s="10" t="s">
        <v>58</v>
      </c>
      <c r="U145" s="6"/>
    </row>
    <row r="146" ht="22.5" customHeight="1">
      <c r="A146" s="4" t="s">
        <v>21</v>
      </c>
      <c r="B146" s="5" t="s">
        <v>237</v>
      </c>
      <c r="C146" s="5" t="s">
        <v>23</v>
      </c>
      <c r="D146" s="6" t="s">
        <v>243</v>
      </c>
      <c r="F146" s="16"/>
      <c r="G146" s="8" t="b">
        <v>1</v>
      </c>
      <c r="H146" s="8" t="b">
        <v>0</v>
      </c>
      <c r="I146" s="9">
        <v>2.0</v>
      </c>
      <c r="J146" s="10" t="s">
        <v>27</v>
      </c>
      <c r="K146" s="11" t="s">
        <v>28</v>
      </c>
      <c r="L146" s="9">
        <v>2.0</v>
      </c>
      <c r="M146" s="12">
        <v>20.0</v>
      </c>
      <c r="N146" s="13">
        <f t="shared" si="1"/>
        <v>80</v>
      </c>
      <c r="O146" s="23" t="s">
        <v>28</v>
      </c>
      <c r="P146" s="13">
        <v>16.0</v>
      </c>
      <c r="Q146" s="13">
        <f t="shared" si="2"/>
        <v>96</v>
      </c>
      <c r="R146" s="13">
        <f t="shared" si="3"/>
        <v>12.48</v>
      </c>
      <c r="S146" s="13">
        <f t="shared" si="4"/>
        <v>108.48</v>
      </c>
      <c r="U146" s="6"/>
    </row>
    <row r="147" ht="22.5" customHeight="1">
      <c r="A147" s="4" t="s">
        <v>21</v>
      </c>
      <c r="B147" s="5" t="s">
        <v>244</v>
      </c>
      <c r="C147" s="5" t="s">
        <v>245</v>
      </c>
      <c r="D147" s="6" t="s">
        <v>246</v>
      </c>
      <c r="F147" s="16"/>
      <c r="G147" s="8" t="b">
        <v>0</v>
      </c>
      <c r="H147" s="8" t="b">
        <v>0</v>
      </c>
      <c r="I147" s="9">
        <v>1.0</v>
      </c>
      <c r="J147" s="10" t="s">
        <v>108</v>
      </c>
      <c r="K147" s="11" t="s">
        <v>29</v>
      </c>
      <c r="L147" s="9">
        <v>1.0</v>
      </c>
      <c r="M147" s="12">
        <v>45.0</v>
      </c>
      <c r="N147" s="13">
        <f t="shared" si="1"/>
        <v>45</v>
      </c>
      <c r="O147" s="15" t="s">
        <v>28</v>
      </c>
      <c r="P147" s="13">
        <v>9.0</v>
      </c>
      <c r="Q147" s="13">
        <f t="shared" si="2"/>
        <v>54</v>
      </c>
      <c r="R147" s="13">
        <f t="shared" si="3"/>
        <v>7.02</v>
      </c>
      <c r="S147" s="13">
        <f t="shared" si="4"/>
        <v>61.02</v>
      </c>
      <c r="T147" s="19" t="s">
        <v>131</v>
      </c>
      <c r="U147" s="6"/>
    </row>
    <row r="148" ht="22.5" customHeight="1">
      <c r="A148" s="4" t="s">
        <v>21</v>
      </c>
      <c r="B148" s="5" t="s">
        <v>244</v>
      </c>
      <c r="C148" s="5" t="s">
        <v>245</v>
      </c>
      <c r="D148" s="6" t="s">
        <v>247</v>
      </c>
      <c r="F148" s="7" t="s">
        <v>61</v>
      </c>
      <c r="G148" s="8" t="b">
        <v>0</v>
      </c>
      <c r="H148" s="8" t="b">
        <v>0</v>
      </c>
      <c r="I148" s="9">
        <v>1.0</v>
      </c>
      <c r="J148" s="10" t="s">
        <v>108</v>
      </c>
      <c r="K148" s="11" t="s">
        <v>29</v>
      </c>
      <c r="L148" s="9">
        <v>1.0</v>
      </c>
      <c r="M148" s="12">
        <v>90.0</v>
      </c>
      <c r="N148" s="13">
        <f t="shared" si="1"/>
        <v>90</v>
      </c>
      <c r="O148" s="23" t="s">
        <v>28</v>
      </c>
      <c r="P148" s="13">
        <v>18.0</v>
      </c>
      <c r="Q148" s="13">
        <f t="shared" si="2"/>
        <v>108</v>
      </c>
      <c r="R148" s="13">
        <f t="shared" si="3"/>
        <v>14.04</v>
      </c>
      <c r="S148" s="13">
        <f t="shared" si="4"/>
        <v>122.04</v>
      </c>
      <c r="T148" s="19" t="s">
        <v>62</v>
      </c>
      <c r="U148" s="6"/>
    </row>
    <row r="149" ht="22.5" customHeight="1">
      <c r="A149" s="4" t="s">
        <v>21</v>
      </c>
      <c r="B149" s="5" t="s">
        <v>244</v>
      </c>
      <c r="C149" s="5" t="s">
        <v>248</v>
      </c>
      <c r="D149" s="6" t="s">
        <v>249</v>
      </c>
      <c r="F149" s="16"/>
      <c r="G149" s="8" t="b">
        <v>0</v>
      </c>
      <c r="H149" s="8" t="b">
        <v>0</v>
      </c>
      <c r="I149" s="9">
        <v>1.0</v>
      </c>
      <c r="J149" s="10" t="s">
        <v>108</v>
      </c>
      <c r="K149" s="11" t="s">
        <v>29</v>
      </c>
      <c r="L149" s="9">
        <v>1.0</v>
      </c>
      <c r="M149" s="12">
        <v>80.0</v>
      </c>
      <c r="N149" s="13">
        <f t="shared" si="1"/>
        <v>80</v>
      </c>
      <c r="O149" s="15" t="s">
        <v>28</v>
      </c>
      <c r="P149" s="13">
        <v>16.0</v>
      </c>
      <c r="Q149" s="13">
        <f t="shared" si="2"/>
        <v>96</v>
      </c>
      <c r="R149" s="13">
        <f t="shared" si="3"/>
        <v>12.48</v>
      </c>
      <c r="S149" s="13">
        <f t="shared" si="4"/>
        <v>108.48</v>
      </c>
      <c r="T149" s="29" t="s">
        <v>216</v>
      </c>
      <c r="U149" s="19"/>
    </row>
    <row r="150" ht="22.5" customHeight="1">
      <c r="A150" s="4" t="s">
        <v>21</v>
      </c>
      <c r="B150" s="5" t="s">
        <v>244</v>
      </c>
      <c r="C150" s="5" t="s">
        <v>250</v>
      </c>
      <c r="D150" s="6" t="s">
        <v>251</v>
      </c>
      <c r="F150" s="7" t="s">
        <v>50</v>
      </c>
      <c r="G150" s="8" t="b">
        <v>0</v>
      </c>
      <c r="H150" s="8" t="b">
        <v>0</v>
      </c>
      <c r="I150" s="9">
        <v>1.0</v>
      </c>
      <c r="J150" s="10" t="s">
        <v>108</v>
      </c>
      <c r="K150" s="11" t="s">
        <v>29</v>
      </c>
      <c r="L150" s="9">
        <v>1.0</v>
      </c>
      <c r="M150" s="12">
        <v>10.0</v>
      </c>
      <c r="N150" s="13">
        <f t="shared" si="1"/>
        <v>10</v>
      </c>
      <c r="O150" s="23" t="s">
        <v>28</v>
      </c>
      <c r="P150" s="13">
        <v>2.0</v>
      </c>
      <c r="Q150" s="13">
        <f t="shared" si="2"/>
        <v>12</v>
      </c>
      <c r="R150" s="13">
        <f t="shared" si="3"/>
        <v>1.56</v>
      </c>
      <c r="S150" s="13">
        <f t="shared" si="4"/>
        <v>13.56</v>
      </c>
      <c r="T150" s="19" t="s">
        <v>98</v>
      </c>
      <c r="U150" s="19"/>
    </row>
    <row r="151" ht="22.5" customHeight="1">
      <c r="A151" s="4" t="s">
        <v>21</v>
      </c>
      <c r="B151" s="5" t="s">
        <v>37</v>
      </c>
      <c r="C151" s="5" t="s">
        <v>37</v>
      </c>
      <c r="D151" s="6" t="s">
        <v>252</v>
      </c>
      <c r="F151" s="7" t="s">
        <v>50</v>
      </c>
      <c r="G151" s="8" t="b">
        <v>0</v>
      </c>
      <c r="H151" s="8" t="b">
        <v>0</v>
      </c>
      <c r="I151" s="9">
        <v>11.0</v>
      </c>
      <c r="J151" s="18" t="s">
        <v>45</v>
      </c>
      <c r="K151" s="11" t="s">
        <v>29</v>
      </c>
      <c r="L151" s="9">
        <v>1.0</v>
      </c>
      <c r="M151" s="28">
        <v>1.75</v>
      </c>
      <c r="N151" s="13">
        <f t="shared" si="1"/>
        <v>19.25</v>
      </c>
      <c r="O151" s="23" t="s">
        <v>28</v>
      </c>
      <c r="P151" s="13">
        <v>3.85</v>
      </c>
      <c r="Q151" s="13">
        <f t="shared" si="2"/>
        <v>23.1</v>
      </c>
      <c r="R151" s="13">
        <f t="shared" si="3"/>
        <v>3.003</v>
      </c>
      <c r="S151" s="13">
        <f t="shared" si="4"/>
        <v>26.103</v>
      </c>
      <c r="T151" s="19" t="s">
        <v>98</v>
      </c>
      <c r="U151" s="29"/>
    </row>
    <row r="152" ht="22.5" customHeight="1">
      <c r="A152" s="4" t="s">
        <v>21</v>
      </c>
      <c r="B152" s="5" t="s">
        <v>37</v>
      </c>
      <c r="C152" s="5" t="s">
        <v>37</v>
      </c>
      <c r="D152" s="6" t="s">
        <v>253</v>
      </c>
      <c r="F152" s="7" t="s">
        <v>50</v>
      </c>
      <c r="G152" s="8" t="b">
        <v>0</v>
      </c>
      <c r="H152" s="8" t="b">
        <v>0</v>
      </c>
      <c r="I152" s="41">
        <v>1.0</v>
      </c>
      <c r="J152" s="18" t="s">
        <v>45</v>
      </c>
      <c r="K152" s="11" t="s">
        <v>29</v>
      </c>
      <c r="L152" s="9">
        <v>1.0</v>
      </c>
      <c r="M152" s="28">
        <v>2.25</v>
      </c>
      <c r="N152" s="13">
        <f t="shared" si="1"/>
        <v>2.25</v>
      </c>
      <c r="O152" s="23" t="s">
        <v>28</v>
      </c>
      <c r="P152" s="13">
        <v>0.45</v>
      </c>
      <c r="Q152" s="13">
        <f t="shared" si="2"/>
        <v>2.7</v>
      </c>
      <c r="R152" s="13">
        <f t="shared" si="3"/>
        <v>0.351</v>
      </c>
      <c r="S152" s="13">
        <f t="shared" si="4"/>
        <v>3.051</v>
      </c>
      <c r="T152" s="19" t="s">
        <v>98</v>
      </c>
      <c r="U152" s="19"/>
    </row>
    <row r="153" ht="22.5" customHeight="1">
      <c r="A153" s="4" t="s">
        <v>21</v>
      </c>
      <c r="B153" s="5" t="s">
        <v>37</v>
      </c>
      <c r="C153" s="5" t="s">
        <v>37</v>
      </c>
      <c r="D153" s="6" t="s">
        <v>254</v>
      </c>
      <c r="F153" s="7" t="s">
        <v>50</v>
      </c>
      <c r="G153" s="8" t="b">
        <v>0</v>
      </c>
      <c r="H153" s="8" t="b">
        <v>0</v>
      </c>
      <c r="I153" s="41">
        <v>10.0</v>
      </c>
      <c r="J153" s="18" t="s">
        <v>45</v>
      </c>
      <c r="K153" s="11" t="s">
        <v>29</v>
      </c>
      <c r="L153" s="9">
        <v>1.0</v>
      </c>
      <c r="M153" s="28">
        <v>1.45</v>
      </c>
      <c r="N153" s="13">
        <f t="shared" si="1"/>
        <v>14.5</v>
      </c>
      <c r="O153" s="23" t="s">
        <v>28</v>
      </c>
      <c r="P153" s="13">
        <v>2.9000000000000004</v>
      </c>
      <c r="Q153" s="13">
        <f t="shared" si="2"/>
        <v>17.4</v>
      </c>
      <c r="R153" s="13">
        <f t="shared" si="3"/>
        <v>2.262</v>
      </c>
      <c r="S153" s="13">
        <f t="shared" si="4"/>
        <v>19.662</v>
      </c>
      <c r="T153" s="6"/>
      <c r="U153" s="19"/>
    </row>
    <row r="154" ht="22.5" customHeight="1">
      <c r="A154" s="4" t="s">
        <v>21</v>
      </c>
      <c r="B154" s="5" t="s">
        <v>37</v>
      </c>
      <c r="C154" s="5" t="s">
        <v>37</v>
      </c>
      <c r="D154" s="6" t="s">
        <v>255</v>
      </c>
      <c r="F154" s="7" t="s">
        <v>50</v>
      </c>
      <c r="G154" s="8" t="b">
        <v>0</v>
      </c>
      <c r="H154" s="8" t="b">
        <v>0</v>
      </c>
      <c r="I154" s="41">
        <v>7.0</v>
      </c>
      <c r="J154" s="18" t="s">
        <v>45</v>
      </c>
      <c r="K154" s="11" t="s">
        <v>29</v>
      </c>
      <c r="L154" s="9">
        <v>1.0</v>
      </c>
      <c r="M154" s="28">
        <v>60.0</v>
      </c>
      <c r="N154" s="13">
        <f t="shared" si="1"/>
        <v>420</v>
      </c>
      <c r="O154" s="14" t="s">
        <v>28</v>
      </c>
      <c r="P154" s="13">
        <v>84.0</v>
      </c>
      <c r="Q154" s="13">
        <f t="shared" si="2"/>
        <v>504</v>
      </c>
      <c r="R154" s="13">
        <f t="shared" si="3"/>
        <v>65.52</v>
      </c>
      <c r="S154" s="13">
        <f t="shared" si="4"/>
        <v>569.52</v>
      </c>
      <c r="T154" s="19" t="s">
        <v>54</v>
      </c>
      <c r="U154" s="19"/>
    </row>
    <row r="155" ht="22.5" customHeight="1">
      <c r="A155" s="4" t="s">
        <v>21</v>
      </c>
      <c r="B155" s="5" t="s">
        <v>37</v>
      </c>
      <c r="C155" s="5" t="s">
        <v>37</v>
      </c>
      <c r="D155" s="21" t="s">
        <v>256</v>
      </c>
      <c r="F155" s="7" t="s">
        <v>50</v>
      </c>
      <c r="G155" s="8" t="b">
        <v>0</v>
      </c>
      <c r="H155" s="8" t="b">
        <v>0</v>
      </c>
      <c r="I155" s="41">
        <v>3.0</v>
      </c>
      <c r="J155" s="18" t="s">
        <v>45</v>
      </c>
      <c r="K155" s="11" t="s">
        <v>29</v>
      </c>
      <c r="L155" s="9">
        <v>1.0</v>
      </c>
      <c r="M155" s="28">
        <v>40.0</v>
      </c>
      <c r="N155" s="13">
        <f t="shared" si="1"/>
        <v>120</v>
      </c>
      <c r="O155" s="23" t="s">
        <v>28</v>
      </c>
      <c r="P155" s="13">
        <v>24.0</v>
      </c>
      <c r="Q155" s="13">
        <f t="shared" si="2"/>
        <v>144</v>
      </c>
      <c r="R155" s="13">
        <f t="shared" si="3"/>
        <v>18.72</v>
      </c>
      <c r="S155" s="13">
        <f t="shared" si="4"/>
        <v>162.72</v>
      </c>
      <c r="T155" s="19" t="s">
        <v>54</v>
      </c>
      <c r="U155" s="6"/>
    </row>
    <row r="156" ht="22.5" customHeight="1">
      <c r="A156" s="4" t="s">
        <v>21</v>
      </c>
      <c r="B156" s="5" t="s">
        <v>37</v>
      </c>
      <c r="C156" s="5" t="s">
        <v>37</v>
      </c>
      <c r="D156" s="6" t="s">
        <v>257</v>
      </c>
      <c r="F156" s="7" t="s">
        <v>50</v>
      </c>
      <c r="G156" s="8" t="b">
        <v>0</v>
      </c>
      <c r="H156" s="8" t="b">
        <v>0</v>
      </c>
      <c r="I156" s="41">
        <v>20.0</v>
      </c>
      <c r="J156" s="18" t="s">
        <v>45</v>
      </c>
      <c r="K156" s="11" t="s">
        <v>29</v>
      </c>
      <c r="L156" s="9">
        <v>1.0</v>
      </c>
      <c r="M156" s="28">
        <v>1.0</v>
      </c>
      <c r="N156" s="13">
        <f t="shared" si="1"/>
        <v>20</v>
      </c>
      <c r="O156" s="23" t="s">
        <v>28</v>
      </c>
      <c r="P156" s="13">
        <v>4.0</v>
      </c>
      <c r="Q156" s="13">
        <f t="shared" si="2"/>
        <v>24</v>
      </c>
      <c r="R156" s="13">
        <f t="shared" si="3"/>
        <v>3.12</v>
      </c>
      <c r="S156" s="13">
        <f t="shared" si="4"/>
        <v>27.12</v>
      </c>
      <c r="T156" s="6"/>
      <c r="U156" s="19"/>
    </row>
    <row r="157" ht="22.5" customHeight="1">
      <c r="A157" s="4" t="s">
        <v>21</v>
      </c>
      <c r="B157" s="5" t="s">
        <v>37</v>
      </c>
      <c r="C157" s="5" t="s">
        <v>37</v>
      </c>
      <c r="D157" s="6" t="s">
        <v>258</v>
      </c>
      <c r="F157" s="7" t="s">
        <v>50</v>
      </c>
      <c r="G157" s="8" t="b">
        <v>0</v>
      </c>
      <c r="H157" s="8" t="b">
        <v>0</v>
      </c>
      <c r="I157" s="41">
        <v>50.0</v>
      </c>
      <c r="J157" s="18" t="s">
        <v>45</v>
      </c>
      <c r="K157" s="11" t="s">
        <v>29</v>
      </c>
      <c r="L157" s="9">
        <v>1.0</v>
      </c>
      <c r="M157" s="28">
        <v>0.15</v>
      </c>
      <c r="N157" s="13">
        <f t="shared" si="1"/>
        <v>7.5</v>
      </c>
      <c r="O157" s="23" t="s">
        <v>28</v>
      </c>
      <c r="P157" s="13">
        <v>1.5</v>
      </c>
      <c r="Q157" s="13">
        <f t="shared" si="2"/>
        <v>9</v>
      </c>
      <c r="R157" s="13">
        <f t="shared" si="3"/>
        <v>1.17</v>
      </c>
      <c r="S157" s="13">
        <f t="shared" si="4"/>
        <v>10.17</v>
      </c>
      <c r="T157" s="19" t="s">
        <v>98</v>
      </c>
      <c r="U157" s="19"/>
    </row>
    <row r="158" ht="22.5" customHeight="1">
      <c r="A158" s="4" t="s">
        <v>21</v>
      </c>
      <c r="B158" s="5" t="s">
        <v>37</v>
      </c>
      <c r="C158" s="5" t="s">
        <v>37</v>
      </c>
      <c r="D158" s="6" t="s">
        <v>259</v>
      </c>
      <c r="F158" s="7" t="s">
        <v>50</v>
      </c>
      <c r="G158" s="8" t="b">
        <v>0</v>
      </c>
      <c r="H158" s="8" t="b">
        <v>0</v>
      </c>
      <c r="I158" s="41">
        <v>2.0</v>
      </c>
      <c r="J158" s="18" t="s">
        <v>45</v>
      </c>
      <c r="K158" s="11" t="s">
        <v>29</v>
      </c>
      <c r="L158" s="9">
        <v>1.0</v>
      </c>
      <c r="M158" s="28">
        <v>0.15</v>
      </c>
      <c r="N158" s="13">
        <f t="shared" si="1"/>
        <v>0.3</v>
      </c>
      <c r="O158" s="23" t="s">
        <v>28</v>
      </c>
      <c r="P158" s="13">
        <v>0.06</v>
      </c>
      <c r="Q158" s="13">
        <f t="shared" si="2"/>
        <v>0.36</v>
      </c>
      <c r="R158" s="13">
        <f t="shared" si="3"/>
        <v>0.0468</v>
      </c>
      <c r="S158" s="13">
        <f t="shared" si="4"/>
        <v>0.4068</v>
      </c>
      <c r="T158" s="19" t="s">
        <v>98</v>
      </c>
      <c r="U158" s="6"/>
    </row>
    <row r="159" ht="22.5" customHeight="1">
      <c r="A159" s="4" t="s">
        <v>21</v>
      </c>
      <c r="B159" s="5" t="s">
        <v>37</v>
      </c>
      <c r="C159" s="5" t="s">
        <v>37</v>
      </c>
      <c r="D159" s="6" t="s">
        <v>260</v>
      </c>
      <c r="F159" s="7" t="s">
        <v>50</v>
      </c>
      <c r="G159" s="8" t="b">
        <v>0</v>
      </c>
      <c r="H159" s="8" t="b">
        <v>0</v>
      </c>
      <c r="I159" s="41">
        <v>7.0</v>
      </c>
      <c r="J159" s="18" t="s">
        <v>45</v>
      </c>
      <c r="K159" s="11" t="s">
        <v>29</v>
      </c>
      <c r="L159" s="9">
        <v>1.0</v>
      </c>
      <c r="M159" s="28">
        <v>0.85</v>
      </c>
      <c r="N159" s="13">
        <f t="shared" si="1"/>
        <v>5.95</v>
      </c>
      <c r="O159" s="23" t="s">
        <v>28</v>
      </c>
      <c r="P159" s="13">
        <v>1.1900000000000002</v>
      </c>
      <c r="Q159" s="13">
        <f t="shared" si="2"/>
        <v>7.14</v>
      </c>
      <c r="R159" s="13">
        <f t="shared" si="3"/>
        <v>0.9282</v>
      </c>
      <c r="S159" s="13">
        <f t="shared" si="4"/>
        <v>8.0682</v>
      </c>
      <c r="T159" s="19" t="s">
        <v>98</v>
      </c>
      <c r="U159" s="19"/>
    </row>
    <row r="160" ht="22.5" customHeight="1">
      <c r="A160" s="4" t="s">
        <v>21</v>
      </c>
      <c r="B160" s="5" t="s">
        <v>261</v>
      </c>
      <c r="C160" s="5" t="s">
        <v>262</v>
      </c>
      <c r="D160" s="6" t="s">
        <v>263</v>
      </c>
      <c r="F160" s="16"/>
      <c r="G160" s="8" t="b">
        <v>0</v>
      </c>
      <c r="H160" s="8" t="b">
        <v>0</v>
      </c>
      <c r="I160" s="41">
        <v>1.0</v>
      </c>
      <c r="J160" s="18" t="s">
        <v>45</v>
      </c>
      <c r="K160" s="11" t="s">
        <v>29</v>
      </c>
      <c r="L160" s="9">
        <v>1.0</v>
      </c>
      <c r="M160" s="12">
        <v>80000.0</v>
      </c>
      <c r="N160" s="13">
        <f t="shared" si="1"/>
        <v>80000</v>
      </c>
      <c r="O160" s="14" t="s">
        <v>29</v>
      </c>
      <c r="P160" s="13">
        <v>0.0</v>
      </c>
      <c r="Q160" s="13">
        <f t="shared" si="2"/>
        <v>80000</v>
      </c>
      <c r="R160" s="13">
        <f t="shared" si="3"/>
        <v>10400</v>
      </c>
      <c r="S160" s="13">
        <f t="shared" si="4"/>
        <v>90400</v>
      </c>
      <c r="U160" s="19"/>
    </row>
    <row r="161" ht="22.5" customHeight="1">
      <c r="A161" s="4" t="s">
        <v>21</v>
      </c>
      <c r="B161" s="5" t="s">
        <v>261</v>
      </c>
      <c r="C161" s="5" t="s">
        <v>264</v>
      </c>
      <c r="D161" s="6" t="s">
        <v>265</v>
      </c>
      <c r="F161" s="16"/>
      <c r="G161" s="8" t="b">
        <v>0</v>
      </c>
      <c r="H161" s="8" t="b">
        <v>0</v>
      </c>
      <c r="I161" s="41">
        <v>1.0</v>
      </c>
      <c r="J161" s="18" t="s">
        <v>45</v>
      </c>
      <c r="K161" s="11" t="s">
        <v>29</v>
      </c>
      <c r="L161" s="9">
        <v>1.0</v>
      </c>
      <c r="M161" s="12">
        <v>11800.0</v>
      </c>
      <c r="N161" s="13">
        <f t="shared" si="1"/>
        <v>11800</v>
      </c>
      <c r="O161" s="15" t="s">
        <v>29</v>
      </c>
      <c r="P161" s="13">
        <v>0.0</v>
      </c>
      <c r="Q161" s="13">
        <f t="shared" si="2"/>
        <v>11800</v>
      </c>
      <c r="R161" s="13">
        <f t="shared" si="3"/>
        <v>1534</v>
      </c>
      <c r="S161" s="13">
        <f t="shared" si="4"/>
        <v>13334</v>
      </c>
      <c r="U161" s="19"/>
    </row>
    <row r="162" ht="22.5" customHeight="1">
      <c r="A162" s="4" t="s">
        <v>21</v>
      </c>
      <c r="B162" s="5" t="s">
        <v>261</v>
      </c>
      <c r="C162" s="5" t="s">
        <v>264</v>
      </c>
      <c r="D162" s="6" t="s">
        <v>266</v>
      </c>
      <c r="F162" s="16"/>
      <c r="G162" s="8" t="b">
        <v>0</v>
      </c>
      <c r="H162" s="8" t="b">
        <v>0</v>
      </c>
      <c r="I162" s="41">
        <v>1.0</v>
      </c>
      <c r="J162" s="18" t="s">
        <v>45</v>
      </c>
      <c r="K162" s="11" t="s">
        <v>29</v>
      </c>
      <c r="L162" s="9">
        <v>4.0</v>
      </c>
      <c r="M162" s="12">
        <v>75.0</v>
      </c>
      <c r="N162" s="13">
        <f t="shared" si="1"/>
        <v>300</v>
      </c>
      <c r="O162" s="14" t="s">
        <v>29</v>
      </c>
      <c r="P162" s="13">
        <v>0.0</v>
      </c>
      <c r="Q162" s="13">
        <f t="shared" si="2"/>
        <v>300</v>
      </c>
      <c r="R162" s="13">
        <f t="shared" si="3"/>
        <v>39</v>
      </c>
      <c r="S162" s="13">
        <f t="shared" si="4"/>
        <v>339</v>
      </c>
      <c r="U162" s="6"/>
    </row>
    <row r="163" ht="22.5" customHeight="1">
      <c r="A163" s="4" t="s">
        <v>21</v>
      </c>
      <c r="B163" s="5" t="s">
        <v>267</v>
      </c>
      <c r="C163" s="5" t="s">
        <v>268</v>
      </c>
      <c r="D163" s="6" t="s">
        <v>269</v>
      </c>
      <c r="F163" s="10" t="s">
        <v>270</v>
      </c>
      <c r="G163" s="8" t="b">
        <v>0</v>
      </c>
      <c r="H163" s="8" t="b">
        <v>0</v>
      </c>
      <c r="I163" s="9">
        <v>1.0</v>
      </c>
      <c r="J163" s="10" t="s">
        <v>108</v>
      </c>
      <c r="K163" s="11" t="s">
        <v>29</v>
      </c>
      <c r="L163" s="9">
        <v>2.0</v>
      </c>
      <c r="M163" s="12">
        <v>100.0</v>
      </c>
      <c r="N163" s="13">
        <f t="shared" si="1"/>
        <v>200</v>
      </c>
      <c r="O163" s="23" t="s">
        <v>28</v>
      </c>
      <c r="P163" s="13">
        <v>40.0</v>
      </c>
      <c r="Q163" s="13">
        <f t="shared" si="2"/>
        <v>240</v>
      </c>
      <c r="R163" s="13">
        <f t="shared" si="3"/>
        <v>31.2</v>
      </c>
      <c r="S163" s="13">
        <f t="shared" si="4"/>
        <v>271.2</v>
      </c>
      <c r="U163" s="6"/>
    </row>
    <row r="164" ht="22.5" customHeight="1">
      <c r="A164" s="4" t="s">
        <v>21</v>
      </c>
      <c r="B164" s="5" t="s">
        <v>271</v>
      </c>
      <c r="C164" s="5" t="s">
        <v>271</v>
      </c>
      <c r="D164" s="21" t="s">
        <v>272</v>
      </c>
      <c r="F164" s="42" t="s">
        <v>273</v>
      </c>
      <c r="G164" s="8" t="b">
        <v>0</v>
      </c>
      <c r="H164" s="8" t="b">
        <v>0</v>
      </c>
      <c r="I164" s="9">
        <v>1.0</v>
      </c>
      <c r="J164" s="10" t="s">
        <v>108</v>
      </c>
      <c r="K164" s="11" t="s">
        <v>29</v>
      </c>
      <c r="L164" s="9">
        <v>1.0</v>
      </c>
      <c r="M164" s="13"/>
      <c r="N164" s="13">
        <f t="shared" si="1"/>
        <v>0</v>
      </c>
      <c r="O164" s="14" t="s">
        <v>29</v>
      </c>
      <c r="P164" s="13">
        <v>0.0</v>
      </c>
      <c r="Q164" s="13">
        <f t="shared" si="2"/>
        <v>0</v>
      </c>
      <c r="R164" s="13">
        <f t="shared" si="3"/>
        <v>0</v>
      </c>
      <c r="S164" s="13">
        <f t="shared" si="4"/>
        <v>0</v>
      </c>
      <c r="T164" s="24" t="s">
        <v>66</v>
      </c>
      <c r="U164" s="6"/>
    </row>
    <row r="165" ht="22.5" customHeight="1">
      <c r="A165" s="4" t="s">
        <v>274</v>
      </c>
      <c r="B165" s="5" t="s">
        <v>275</v>
      </c>
      <c r="C165" s="5" t="s">
        <v>276</v>
      </c>
      <c r="D165" s="6" t="s">
        <v>277</v>
      </c>
      <c r="E165" s="10" t="s">
        <v>278</v>
      </c>
      <c r="F165" s="16"/>
      <c r="G165" s="8" t="b">
        <v>0</v>
      </c>
      <c r="H165" s="8" t="b">
        <v>0</v>
      </c>
      <c r="I165" s="9">
        <v>30.0</v>
      </c>
      <c r="J165" s="10" t="s">
        <v>27</v>
      </c>
      <c r="K165" s="11" t="s">
        <v>29</v>
      </c>
      <c r="L165" s="9">
        <v>1.0</v>
      </c>
      <c r="M165" s="12">
        <v>100.0</v>
      </c>
      <c r="N165" s="13">
        <f t="shared" si="1"/>
        <v>3000</v>
      </c>
      <c r="O165" s="15" t="s">
        <v>29</v>
      </c>
      <c r="P165" s="13">
        <v>0.0</v>
      </c>
      <c r="Q165" s="13">
        <f t="shared" si="2"/>
        <v>3000</v>
      </c>
      <c r="R165" s="13">
        <f t="shared" si="3"/>
        <v>390</v>
      </c>
      <c r="S165" s="13">
        <f t="shared" si="4"/>
        <v>3390</v>
      </c>
      <c r="T165" s="29" t="s">
        <v>279</v>
      </c>
      <c r="U165" s="6"/>
    </row>
    <row r="166" ht="22.5" customHeight="1">
      <c r="A166" s="4" t="s">
        <v>21</v>
      </c>
      <c r="B166" s="5" t="s">
        <v>280</v>
      </c>
      <c r="C166" s="5" t="s">
        <v>280</v>
      </c>
      <c r="D166" s="43" t="s">
        <v>281</v>
      </c>
      <c r="E166" s="10" t="s">
        <v>282</v>
      </c>
      <c r="F166" s="16"/>
      <c r="G166" s="8" t="b">
        <v>0</v>
      </c>
      <c r="H166" s="8" t="b">
        <v>0</v>
      </c>
      <c r="I166" s="9">
        <v>1.0</v>
      </c>
      <c r="J166" s="10" t="s">
        <v>108</v>
      </c>
      <c r="K166" s="11" t="s">
        <v>29</v>
      </c>
      <c r="L166" s="9">
        <v>1.0</v>
      </c>
      <c r="M166" s="12">
        <v>8000.0</v>
      </c>
      <c r="N166" s="13">
        <f t="shared" si="1"/>
        <v>8000</v>
      </c>
      <c r="O166" s="14" t="s">
        <v>29</v>
      </c>
      <c r="P166" s="13">
        <v>0.0</v>
      </c>
      <c r="Q166" s="13">
        <f t="shared" si="2"/>
        <v>8000</v>
      </c>
      <c r="R166" s="13">
        <f t="shared" si="3"/>
        <v>1040</v>
      </c>
      <c r="S166" s="13">
        <f t="shared" si="4"/>
        <v>9040</v>
      </c>
      <c r="U166" s="6"/>
    </row>
    <row r="167" ht="22.5" customHeight="1">
      <c r="A167" s="4" t="s">
        <v>21</v>
      </c>
      <c r="B167" s="5" t="s">
        <v>283</v>
      </c>
      <c r="C167" s="5" t="s">
        <v>284</v>
      </c>
      <c r="D167" s="21" t="s">
        <v>285</v>
      </c>
      <c r="E167" s="10" t="s">
        <v>286</v>
      </c>
      <c r="F167" s="16"/>
      <c r="G167" s="8" t="b">
        <v>0</v>
      </c>
      <c r="H167" s="8" t="b">
        <v>0</v>
      </c>
      <c r="I167" s="9">
        <v>1.0</v>
      </c>
      <c r="J167" s="10" t="s">
        <v>108</v>
      </c>
      <c r="K167" s="11" t="s">
        <v>29</v>
      </c>
      <c r="L167" s="9">
        <v>1.0</v>
      </c>
      <c r="M167" s="12">
        <v>5000.0</v>
      </c>
      <c r="N167" s="13">
        <f t="shared" si="1"/>
        <v>5000</v>
      </c>
      <c r="O167" s="23" t="s">
        <v>29</v>
      </c>
      <c r="P167" s="13">
        <v>0.0</v>
      </c>
      <c r="Q167" s="13">
        <f t="shared" si="2"/>
        <v>5000</v>
      </c>
      <c r="R167" s="13">
        <f t="shared" si="3"/>
        <v>650</v>
      </c>
      <c r="S167" s="13">
        <f t="shared" si="4"/>
        <v>5650</v>
      </c>
    </row>
    <row r="168" ht="22.5" customHeight="1">
      <c r="A168" s="4" t="s">
        <v>21</v>
      </c>
      <c r="B168" s="5" t="s">
        <v>287</v>
      </c>
      <c r="C168" s="5" t="s">
        <v>288</v>
      </c>
      <c r="D168" s="21" t="s">
        <v>289</v>
      </c>
      <c r="E168" s="10" t="s">
        <v>286</v>
      </c>
      <c r="F168" s="16"/>
      <c r="G168" s="8" t="b">
        <v>0</v>
      </c>
      <c r="H168" s="8" t="b">
        <v>0</v>
      </c>
      <c r="I168" s="9">
        <v>1.0</v>
      </c>
      <c r="J168" s="10" t="s">
        <v>108</v>
      </c>
      <c r="K168" s="11" t="s">
        <v>29</v>
      </c>
      <c r="L168" s="9">
        <v>1.0</v>
      </c>
      <c r="M168" s="12">
        <v>3000.0</v>
      </c>
      <c r="N168" s="13">
        <f t="shared" si="1"/>
        <v>3000</v>
      </c>
      <c r="O168" s="14" t="s">
        <v>29</v>
      </c>
      <c r="P168" s="13">
        <v>0.0</v>
      </c>
      <c r="Q168" s="13">
        <f t="shared" si="2"/>
        <v>3000</v>
      </c>
      <c r="R168" s="13">
        <f t="shared" si="3"/>
        <v>390</v>
      </c>
      <c r="S168" s="13">
        <f t="shared" si="4"/>
        <v>3390</v>
      </c>
      <c r="U168" s="6"/>
    </row>
    <row r="169" ht="22.5" customHeight="1">
      <c r="A169" s="4" t="s">
        <v>290</v>
      </c>
      <c r="B169" s="5" t="s">
        <v>275</v>
      </c>
      <c r="C169" s="5" t="s">
        <v>276</v>
      </c>
      <c r="D169" s="21" t="s">
        <v>291</v>
      </c>
      <c r="E169" s="10" t="s">
        <v>292</v>
      </c>
      <c r="F169" s="16"/>
      <c r="G169" s="8" t="b">
        <v>0</v>
      </c>
      <c r="H169" s="8" t="b">
        <v>0</v>
      </c>
      <c r="I169" s="9">
        <v>30.0</v>
      </c>
      <c r="J169" s="10" t="s">
        <v>27</v>
      </c>
      <c r="K169" s="11" t="s">
        <v>29</v>
      </c>
      <c r="L169" s="9">
        <v>1.0</v>
      </c>
      <c r="M169" s="12">
        <v>200.0</v>
      </c>
      <c r="N169" s="13">
        <f t="shared" si="1"/>
        <v>6000</v>
      </c>
      <c r="O169" s="15" t="s">
        <v>29</v>
      </c>
      <c r="P169" s="13">
        <v>0.0</v>
      </c>
      <c r="Q169" s="13">
        <f t="shared" si="2"/>
        <v>6000</v>
      </c>
      <c r="R169" s="13">
        <f t="shared" si="3"/>
        <v>780</v>
      </c>
      <c r="S169" s="13">
        <f t="shared" si="4"/>
        <v>6780</v>
      </c>
      <c r="U169" s="6"/>
    </row>
    <row r="170" ht="22.5" customHeight="1">
      <c r="A170" s="4" t="s">
        <v>290</v>
      </c>
      <c r="B170" s="5" t="s">
        <v>293</v>
      </c>
      <c r="C170" s="5" t="s">
        <v>294</v>
      </c>
      <c r="D170" s="6" t="s">
        <v>295</v>
      </c>
      <c r="E170" s="44" t="s">
        <v>296</v>
      </c>
      <c r="F170" s="16"/>
      <c r="G170" s="8" t="b">
        <v>1</v>
      </c>
      <c r="H170" s="8" t="b">
        <v>0</v>
      </c>
      <c r="I170" s="9">
        <v>1.0</v>
      </c>
      <c r="J170" s="10" t="s">
        <v>139</v>
      </c>
      <c r="K170" s="11" t="s">
        <v>29</v>
      </c>
      <c r="L170" s="9">
        <v>1.0</v>
      </c>
      <c r="M170" s="12">
        <v>56980.03</v>
      </c>
      <c r="N170" s="13">
        <f t="shared" si="1"/>
        <v>56980.03</v>
      </c>
      <c r="O170" s="14" t="s">
        <v>29</v>
      </c>
      <c r="P170" s="13">
        <v>0.0</v>
      </c>
      <c r="Q170" s="13">
        <f t="shared" si="2"/>
        <v>56980.03</v>
      </c>
      <c r="R170" s="13">
        <f t="shared" si="3"/>
        <v>7407.4039</v>
      </c>
      <c r="S170" s="13">
        <f t="shared" si="4"/>
        <v>64387.4339</v>
      </c>
      <c r="T170" s="24" t="s">
        <v>297</v>
      </c>
      <c r="U170" s="6"/>
    </row>
    <row r="171" ht="22.5" customHeight="1">
      <c r="A171" s="4" t="s">
        <v>290</v>
      </c>
      <c r="B171" s="5" t="s">
        <v>275</v>
      </c>
      <c r="C171" s="38" t="s">
        <v>298</v>
      </c>
      <c r="D171" s="6" t="s">
        <v>299</v>
      </c>
      <c r="E171" s="10" t="s">
        <v>300</v>
      </c>
      <c r="F171" s="16"/>
      <c r="G171" s="8" t="b">
        <v>1</v>
      </c>
      <c r="H171" s="8" t="b">
        <v>0</v>
      </c>
      <c r="I171" s="9">
        <v>30.0</v>
      </c>
      <c r="J171" s="10" t="s">
        <v>301</v>
      </c>
      <c r="K171" s="11" t="s">
        <v>29</v>
      </c>
      <c r="L171" s="9">
        <v>1.0</v>
      </c>
      <c r="M171" s="12">
        <v>35.0</v>
      </c>
      <c r="N171" s="13">
        <f t="shared" si="1"/>
        <v>1050</v>
      </c>
      <c r="O171" s="15" t="s">
        <v>29</v>
      </c>
      <c r="P171" s="13">
        <v>0.0</v>
      </c>
      <c r="Q171" s="13">
        <f t="shared" si="2"/>
        <v>1050</v>
      </c>
      <c r="R171" s="13">
        <f t="shared" si="3"/>
        <v>136.5</v>
      </c>
      <c r="S171" s="13">
        <f t="shared" si="4"/>
        <v>1186.5</v>
      </c>
      <c r="T171" s="40" t="s">
        <v>302</v>
      </c>
      <c r="U171" s="6"/>
    </row>
    <row r="172" ht="22.5" customHeight="1">
      <c r="A172" s="4" t="s">
        <v>290</v>
      </c>
      <c r="B172" s="5" t="s">
        <v>293</v>
      </c>
      <c r="C172" s="5" t="s">
        <v>303</v>
      </c>
      <c r="D172" s="6" t="s">
        <v>304</v>
      </c>
      <c r="E172" s="44" t="s">
        <v>305</v>
      </c>
      <c r="F172" s="16"/>
      <c r="G172" s="8" t="b">
        <v>0</v>
      </c>
      <c r="H172" s="8" t="b">
        <v>0</v>
      </c>
      <c r="I172" s="9">
        <v>1.0</v>
      </c>
      <c r="J172" s="10" t="s">
        <v>108</v>
      </c>
      <c r="K172" s="11" t="s">
        <v>29</v>
      </c>
      <c r="L172" s="9">
        <v>1.0</v>
      </c>
      <c r="M172" s="12">
        <v>325.0</v>
      </c>
      <c r="N172" s="13">
        <f t="shared" si="1"/>
        <v>325</v>
      </c>
      <c r="O172" s="14" t="s">
        <v>29</v>
      </c>
      <c r="P172" s="13">
        <v>0.0</v>
      </c>
      <c r="Q172" s="13">
        <f t="shared" si="2"/>
        <v>325</v>
      </c>
      <c r="R172" s="13">
        <f t="shared" si="3"/>
        <v>42.25</v>
      </c>
      <c r="S172" s="13">
        <f t="shared" si="4"/>
        <v>367.25</v>
      </c>
      <c r="T172" s="24" t="s">
        <v>306</v>
      </c>
      <c r="U172" s="29"/>
    </row>
    <row r="173" ht="22.5" customHeight="1">
      <c r="A173" s="4" t="s">
        <v>290</v>
      </c>
      <c r="B173" s="5" t="s">
        <v>275</v>
      </c>
      <c r="C173" s="5" t="s">
        <v>307</v>
      </c>
      <c r="D173" s="6" t="s">
        <v>308</v>
      </c>
      <c r="F173" s="16"/>
      <c r="G173" s="8" t="b">
        <v>1</v>
      </c>
      <c r="H173" s="8" t="b">
        <v>0</v>
      </c>
      <c r="I173" s="9">
        <v>1.0</v>
      </c>
      <c r="J173" s="10" t="s">
        <v>139</v>
      </c>
      <c r="K173" s="11" t="s">
        <v>29</v>
      </c>
      <c r="L173" s="9">
        <v>1.0</v>
      </c>
      <c r="M173" s="12">
        <v>18270.0</v>
      </c>
      <c r="N173" s="13">
        <f t="shared" si="1"/>
        <v>18270</v>
      </c>
      <c r="O173" s="15" t="s">
        <v>29</v>
      </c>
      <c r="P173" s="13">
        <v>0.0</v>
      </c>
      <c r="Q173" s="13">
        <f t="shared" si="2"/>
        <v>18270</v>
      </c>
      <c r="R173" s="13">
        <f t="shared" si="3"/>
        <v>2375.1</v>
      </c>
      <c r="S173" s="13">
        <f t="shared" si="4"/>
        <v>20645.1</v>
      </c>
      <c r="T173" s="44" t="s">
        <v>309</v>
      </c>
      <c r="U173" s="29"/>
    </row>
    <row r="174" ht="22.5" customHeight="1">
      <c r="A174" s="4" t="s">
        <v>290</v>
      </c>
      <c r="B174" s="5" t="s">
        <v>275</v>
      </c>
      <c r="C174" s="5" t="s">
        <v>89</v>
      </c>
      <c r="D174" s="21" t="s">
        <v>310</v>
      </c>
      <c r="F174" s="16"/>
      <c r="G174" s="8" t="b">
        <v>0</v>
      </c>
      <c r="H174" s="8" t="b">
        <v>0</v>
      </c>
      <c r="I174" s="9">
        <v>30.0</v>
      </c>
      <c r="J174" s="10" t="s">
        <v>139</v>
      </c>
      <c r="K174" s="11" t="s">
        <v>29</v>
      </c>
      <c r="L174" s="9">
        <v>1.0</v>
      </c>
      <c r="M174" s="12">
        <v>35.0</v>
      </c>
      <c r="N174" s="13">
        <f t="shared" si="1"/>
        <v>1050</v>
      </c>
      <c r="O174" s="14" t="s">
        <v>29</v>
      </c>
      <c r="P174" s="13">
        <v>0.0</v>
      </c>
      <c r="Q174" s="13">
        <f t="shared" si="2"/>
        <v>1050</v>
      </c>
      <c r="R174" s="13">
        <f t="shared" si="3"/>
        <v>136.5</v>
      </c>
      <c r="S174" s="13">
        <f t="shared" si="4"/>
        <v>1186.5</v>
      </c>
      <c r="T174" s="45" t="s">
        <v>311</v>
      </c>
      <c r="U174" s="45" t="s">
        <v>312</v>
      </c>
    </row>
    <row r="175" ht="22.5" customHeight="1">
      <c r="A175" s="4" t="s">
        <v>290</v>
      </c>
      <c r="B175" s="5" t="s">
        <v>275</v>
      </c>
      <c r="C175" s="5" t="s">
        <v>89</v>
      </c>
      <c r="D175" s="6" t="s">
        <v>313</v>
      </c>
      <c r="F175" s="16"/>
      <c r="G175" s="8" t="b">
        <v>0</v>
      </c>
      <c r="H175" s="8" t="b">
        <v>0</v>
      </c>
      <c r="I175" s="9">
        <v>1.0</v>
      </c>
      <c r="J175" s="10" t="s">
        <v>108</v>
      </c>
      <c r="K175" s="11" t="s">
        <v>29</v>
      </c>
      <c r="L175" s="9">
        <v>1.0</v>
      </c>
      <c r="M175" s="12">
        <v>2.0</v>
      </c>
      <c r="N175" s="13">
        <f t="shared" si="1"/>
        <v>2</v>
      </c>
      <c r="O175" s="15" t="s">
        <v>29</v>
      </c>
      <c r="P175" s="13">
        <v>0.0</v>
      </c>
      <c r="Q175" s="13">
        <f t="shared" si="2"/>
        <v>2</v>
      </c>
      <c r="R175" s="13">
        <f t="shared" si="3"/>
        <v>0.26</v>
      </c>
      <c r="S175" s="13">
        <f t="shared" si="4"/>
        <v>2.26</v>
      </c>
      <c r="T175" s="45" t="s">
        <v>314</v>
      </c>
    </row>
    <row r="176" ht="22.5" customHeight="1">
      <c r="A176" s="4" t="s">
        <v>290</v>
      </c>
      <c r="B176" s="5" t="s">
        <v>293</v>
      </c>
      <c r="C176" s="5" t="s">
        <v>303</v>
      </c>
      <c r="D176" s="6" t="s">
        <v>315</v>
      </c>
      <c r="E176" s="44" t="s">
        <v>316</v>
      </c>
      <c r="F176" s="16"/>
      <c r="G176" s="8" t="b">
        <v>0</v>
      </c>
      <c r="H176" s="8" t="b">
        <v>0</v>
      </c>
      <c r="I176" s="9">
        <v>1.0</v>
      </c>
      <c r="J176" s="10" t="s">
        <v>108</v>
      </c>
      <c r="K176" s="11" t="s">
        <v>29</v>
      </c>
      <c r="L176" s="9">
        <v>1.0</v>
      </c>
      <c r="M176" s="12">
        <v>1305.0</v>
      </c>
      <c r="N176" s="13">
        <f t="shared" si="1"/>
        <v>1305</v>
      </c>
      <c r="O176" s="14" t="s">
        <v>29</v>
      </c>
      <c r="P176" s="13">
        <v>0.0</v>
      </c>
      <c r="Q176" s="13">
        <f t="shared" si="2"/>
        <v>1305</v>
      </c>
      <c r="R176" s="13">
        <f t="shared" si="3"/>
        <v>169.65</v>
      </c>
      <c r="S176" s="13">
        <f t="shared" si="4"/>
        <v>1474.65</v>
      </c>
      <c r="T176" s="24" t="s">
        <v>306</v>
      </c>
    </row>
    <row r="177" ht="22.5" customHeight="1">
      <c r="A177" s="4" t="s">
        <v>21</v>
      </c>
      <c r="B177" s="5" t="s">
        <v>293</v>
      </c>
      <c r="C177" s="5" t="s">
        <v>303</v>
      </c>
      <c r="D177" s="21" t="s">
        <v>317</v>
      </c>
      <c r="E177" s="10" t="s">
        <v>318</v>
      </c>
      <c r="F177" s="16"/>
      <c r="G177" s="8" t="b">
        <v>0</v>
      </c>
      <c r="H177" s="8" t="b">
        <v>0</v>
      </c>
      <c r="I177" s="9">
        <v>250.0</v>
      </c>
      <c r="J177" s="10" t="s">
        <v>139</v>
      </c>
      <c r="K177" s="11" t="s">
        <v>29</v>
      </c>
      <c r="L177" s="9">
        <v>1.0</v>
      </c>
      <c r="M177" s="12">
        <v>10.0</v>
      </c>
      <c r="N177" s="13">
        <f t="shared" si="1"/>
        <v>2500</v>
      </c>
      <c r="O177" s="15" t="s">
        <v>29</v>
      </c>
      <c r="P177" s="13">
        <v>0.0</v>
      </c>
      <c r="Q177" s="13">
        <f t="shared" si="2"/>
        <v>2500</v>
      </c>
      <c r="R177" s="13"/>
      <c r="S177" s="13">
        <f t="shared" si="4"/>
        <v>2500</v>
      </c>
    </row>
    <row r="178" ht="22.5" customHeight="1">
      <c r="A178" s="11" t="s">
        <v>290</v>
      </c>
      <c r="B178" s="11" t="s">
        <v>293</v>
      </c>
      <c r="C178" s="11" t="s">
        <v>303</v>
      </c>
      <c r="D178" s="21" t="s">
        <v>319</v>
      </c>
      <c r="E178" s="44" t="s">
        <v>320</v>
      </c>
      <c r="F178" s="16"/>
      <c r="G178" s="8" t="b">
        <v>0</v>
      </c>
      <c r="H178" s="8" t="b">
        <v>0</v>
      </c>
      <c r="I178" s="9">
        <v>1.0</v>
      </c>
      <c r="J178" s="10" t="s">
        <v>108</v>
      </c>
      <c r="K178" s="11" t="s">
        <v>29</v>
      </c>
      <c r="L178" s="9">
        <v>1.0</v>
      </c>
      <c r="M178" s="12">
        <v>325.0</v>
      </c>
      <c r="N178" s="13">
        <f t="shared" si="1"/>
        <v>325</v>
      </c>
      <c r="O178" s="46" t="s">
        <v>29</v>
      </c>
      <c r="P178" s="13">
        <v>0.0</v>
      </c>
      <c r="Q178" s="13">
        <f t="shared" si="2"/>
        <v>325</v>
      </c>
      <c r="R178" s="13">
        <f t="shared" ref="R178:R180" si="5">Q178*0.13</f>
        <v>42.25</v>
      </c>
      <c r="S178" s="13">
        <f t="shared" si="4"/>
        <v>367.25</v>
      </c>
      <c r="T178" s="24" t="s">
        <v>306</v>
      </c>
    </row>
    <row r="179" ht="22.5" customHeight="1">
      <c r="A179" s="11" t="s">
        <v>290</v>
      </c>
      <c r="B179" s="11" t="s">
        <v>321</v>
      </c>
      <c r="C179" s="11" t="s">
        <v>23</v>
      </c>
      <c r="D179" s="21" t="s">
        <v>322</v>
      </c>
      <c r="E179" s="47"/>
      <c r="F179" s="16"/>
      <c r="G179" s="8" t="b">
        <v>0</v>
      </c>
      <c r="H179" s="8" t="b">
        <v>0</v>
      </c>
      <c r="I179" s="9"/>
      <c r="J179" s="10"/>
      <c r="K179" s="11"/>
      <c r="L179" s="9"/>
      <c r="M179" s="12"/>
      <c r="N179" s="13">
        <f t="shared" si="1"/>
        <v>0</v>
      </c>
      <c r="O179" s="48"/>
      <c r="P179" s="13">
        <v>0.0</v>
      </c>
      <c r="Q179" s="13">
        <f t="shared" si="2"/>
        <v>0</v>
      </c>
      <c r="R179" s="13">
        <f t="shared" si="5"/>
        <v>0</v>
      </c>
      <c r="S179" s="13">
        <f t="shared" si="4"/>
        <v>0</v>
      </c>
      <c r="T179" s="10"/>
    </row>
    <row r="180" ht="22.5" customHeight="1">
      <c r="A180" s="11" t="s">
        <v>290</v>
      </c>
      <c r="B180" s="11" t="s">
        <v>321</v>
      </c>
      <c r="C180" s="11" t="s">
        <v>23</v>
      </c>
      <c r="D180" s="21" t="s">
        <v>323</v>
      </c>
      <c r="E180" s="47"/>
      <c r="F180" s="16"/>
      <c r="G180" s="8" t="b">
        <v>0</v>
      </c>
      <c r="H180" s="8" t="b">
        <v>0</v>
      </c>
      <c r="I180" s="9"/>
      <c r="J180" s="10"/>
      <c r="K180" s="11"/>
      <c r="L180" s="9"/>
      <c r="M180" s="12"/>
      <c r="N180" s="13">
        <f t="shared" si="1"/>
        <v>0</v>
      </c>
      <c r="O180" s="48"/>
      <c r="P180" s="13">
        <v>0.0</v>
      </c>
      <c r="Q180" s="13">
        <f t="shared" si="2"/>
        <v>0</v>
      </c>
      <c r="R180" s="13">
        <f t="shared" si="5"/>
        <v>0</v>
      </c>
      <c r="S180" s="13">
        <f t="shared" si="4"/>
        <v>0</v>
      </c>
      <c r="T180" s="10"/>
    </row>
  </sheetData>
  <dataValidations>
    <dataValidation type="list" allowBlank="1" sqref="K2:K180">
      <formula1>"SI,NO"</formula1>
    </dataValidation>
    <dataValidation type="list" allowBlank="1" sqref="C2:C180">
      <formula1>"STAFF,VOLUNTARIOS,SEÑALETICA,PRODUCCIÓN Y MONTAJE,MOBILIARIO,MANTELERIA,FUN CAPITAL STAFF,ELECTRONICOS,AMENITIES,BADGES &amp; LANDYARD,IMPRESOS,BOOTHS/STANDS,ELECTRICO,INTERNET,ILUMINACIÓN,AUDIO,PRODUCCION AUDIOVISUAL,COMUNICACION,ILUMINACION,EQUIPO,CATERING,"&amp;"WASTE MANAGEMENT,TRANSPORTE MOBILIARIO Y EQUIPO,TRANSPORTE ALIMENTOS,TRANSPORTE IMPRENTA,MITTR/OPINNO,STREAMING,AMBULANCIA,TICKETING ,ALIMENTACION,FOTOGRAFIA Y VIDEO ,PR BUDGET,MARKETING &amp; COMMUNICATIONS BUDGET,AERIAL TRANSPORTATION,AIRPORT RECEPTION ASSI"&amp;"TANCE,TERRESTRIAL TRANSPORTATION,ACCOMODATIONS"</formula1>
    </dataValidation>
    <dataValidation type="list" allowBlank="1" sqref="A2:A180">
      <formula1>"MAIN EVENT,MAIN EVENT VIP DINNER,BEFORE/AFTER MAIN EVENT"</formula1>
    </dataValidation>
    <dataValidation type="list" allowBlank="1" sqref="B2:B180">
      <formula1>"INGRESO ESEN Y PARQUEO ,RIDE SHARE/DROP-OFF ZONE,INGRESO 1 via DROP OFF ZONE,INGRESO 2 ""PRINCIPAL"" via GRADAS (DE PARQUEO O GRADAS PAREDON EXTERNO),AREA DE REGISTRO @ LOBBY,LOBBY,BACKSTAGE,AUDITORIO/MAIN STAGE,LIVING SPACE (CAFETERIA) ,LIVING SPACE (TER"&amp;"RAZA) ,ZONA DE ALIMENTOS @ PING PONG ROOM,ESTACION DE CAFE,PRESS/SPEAKER ROOM,REPLAY ROOM 1,REPLAY ROOM 2,REPLAY ROOM 3,REPLAY ROOM 4,SHORT FORM EXPERIENCE ROOM,WASTE MANAGEMENT &amp; GENERAL CLEANING,TRANSPORTE DE EQUIPO Y/O ELEMENTOS DE PRODUCCIÓN &amp; MONTAJE"&amp;",SEÑALETICA,LICENCIAS,PLAN DE SEGURIDAD, PREVENCIÓN Y RESPUESTA A EMERGENCIAS,TICKETING ,HOSPITALITY,FOTOGRAFIA Y VIDEO ,PR ,MARKETING &amp; COMMUNICATIONS,MOBILITY,ORGANIZERS"</formula1>
    </dataValidation>
    <dataValidation type="custom" allowBlank="1" showDropDown="1" sqref="I2:I180 L2:N180 P2:S180">
      <formula1>AND(ISNUMBER(I2),(NOT(OR(NOT(ISERROR(DATEVALUE(I2))), AND(ISNUMBER(I2), LEFT(CELL("format", I2))="D")))))</formula1>
    </dataValidation>
    <dataValidation type="list" allowBlank="1" sqref="O2:O180">
      <formula1>"SI,NO,SI PERO SE TIENE QUE MITIGAR"</formula1>
    </dataValidation>
  </dataValidations>
  <hyperlinks>
    <hyperlink r:id="rId1" ref="T12"/>
    <hyperlink r:id="rId2" ref="T14"/>
    <hyperlink r:id="rId3" ref="T16"/>
    <hyperlink r:id="rId4" ref="T17"/>
    <hyperlink r:id="rId5" ref="T20"/>
    <hyperlink r:id="rId6" ref="T21"/>
    <hyperlink r:id="rId7" ref="T22"/>
    <hyperlink r:id="rId8" ref="T23"/>
    <hyperlink r:id="rId9" ref="T24"/>
    <hyperlink r:id="rId10" ref="T25"/>
    <hyperlink r:id="rId11" ref="T36"/>
    <hyperlink r:id="rId12" ref="T37"/>
    <hyperlink r:id="rId13" ref="T38"/>
    <hyperlink r:id="rId14" ref="T39"/>
    <hyperlink r:id="rId15" ref="T40"/>
    <hyperlink r:id="rId16" ref="T44"/>
    <hyperlink r:id="rId17" ref="T46"/>
    <hyperlink r:id="rId18" ref="T48"/>
    <hyperlink r:id="rId19" ref="T49"/>
    <hyperlink r:id="rId20" ref="T50"/>
    <hyperlink r:id="rId21" ref="T51"/>
    <hyperlink r:id="rId22" ref="T54"/>
    <hyperlink r:id="rId23" ref="T55"/>
    <hyperlink r:id="rId24" ref="T57"/>
    <hyperlink r:id="rId25" ref="T61"/>
    <hyperlink r:id="rId26" ref="T62"/>
    <hyperlink r:id="rId27" ref="T63"/>
    <hyperlink r:id="rId28" ref="T64"/>
    <hyperlink r:id="rId29" ref="T65"/>
    <hyperlink r:id="rId30" ref="T67"/>
    <hyperlink r:id="rId31" ref="T69"/>
    <hyperlink r:id="rId32" ref="T70"/>
    <hyperlink r:id="rId33" ref="T71"/>
    <hyperlink r:id="rId34" ref="T72"/>
    <hyperlink r:id="rId35" ref="T73"/>
    <hyperlink r:id="rId36" ref="T74"/>
    <hyperlink r:id="rId37" ref="T75"/>
    <hyperlink r:id="rId38" ref="T76"/>
    <hyperlink r:id="rId39" ref="T77"/>
    <hyperlink r:id="rId40" ref="T79"/>
    <hyperlink r:id="rId41" ref="T80"/>
    <hyperlink r:id="rId42" ref="T88"/>
    <hyperlink r:id="rId43" ref="T92"/>
    <hyperlink r:id="rId44" ref="T93"/>
    <hyperlink r:id="rId45" ref="T94"/>
    <hyperlink r:id="rId46" ref="T96"/>
    <hyperlink r:id="rId47" ref="T97"/>
    <hyperlink r:id="rId48" ref="T98"/>
    <hyperlink r:id="rId49" ref="T99"/>
    <hyperlink r:id="rId50" ref="T100"/>
    <hyperlink r:id="rId51" ref="T106"/>
    <hyperlink r:id="rId52" ref="T108"/>
    <hyperlink r:id="rId53" ref="T109"/>
    <hyperlink r:id="rId54" ref="T110"/>
    <hyperlink r:id="rId55" ref="T117"/>
    <hyperlink r:id="rId56" ref="T118"/>
    <hyperlink r:id="rId57" ref="T119"/>
    <hyperlink r:id="rId58" ref="T125"/>
    <hyperlink r:id="rId59" ref="T131"/>
    <hyperlink r:id="rId60" ref="T132"/>
    <hyperlink r:id="rId61" ref="T133"/>
    <hyperlink r:id="rId62" ref="T142"/>
    <hyperlink r:id="rId63" ref="T144"/>
    <hyperlink r:id="rId64" ref="T147"/>
    <hyperlink r:id="rId65" ref="T148"/>
    <hyperlink r:id="rId66" ref="T149"/>
    <hyperlink r:id="rId67" ref="T150"/>
    <hyperlink r:id="rId68" ref="T151"/>
    <hyperlink r:id="rId69" ref="T152"/>
    <hyperlink r:id="rId70" ref="T154"/>
    <hyperlink r:id="rId71" ref="T155"/>
    <hyperlink r:id="rId72" ref="T157"/>
    <hyperlink r:id="rId73" ref="T158"/>
    <hyperlink r:id="rId74" ref="T159"/>
    <hyperlink r:id="rId75" ref="T164"/>
    <hyperlink r:id="rId76" ref="T165"/>
    <hyperlink display="BLOQUE DE VUELOS NEGOCIADOS CON AVIANCA" location="AVIANCA!A1" ref="E170"/>
    <hyperlink r:id="rId77" ref="T170"/>
    <hyperlink r:id="rId78" ref="T171"/>
    <hyperlink display="TRASLADOS AEROPUERTO &gt; HYATT." location="'LINEA EJECUTIVA'!A1" ref="E172"/>
    <hyperlink r:id="rId79" ref="T172"/>
    <hyperlink r:id="rId80" ref="T173"/>
    <hyperlink r:id="rId81" ref="T174"/>
    <hyperlink r:id="rId82" ref="U174"/>
    <hyperlink r:id="rId83" ref="T175"/>
    <hyperlink display="TODOS LOS TRASLADOS DE HOTEL, ESEN, MONARCA DURANTE SU ESTADIA EN SS." location="'LINEA EJECUTIVA'!A1" ref="E176"/>
    <hyperlink r:id="rId84" ref="T176"/>
    <hyperlink display="TRASLADOS HYATT &gt; AEROPUERTO." location="'LINEA EJECUTIVA'!A1" ref="E178"/>
    <hyperlink r:id="rId85" ref="T178"/>
  </hyperlinks>
  <drawing r:id="rId86"/>
  <tableParts count="1">
    <tablePart r:id="rId8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75"/>
    <col customWidth="1" min="2" max="2" width="12.38"/>
    <col customWidth="1" min="3" max="3" width="15.13"/>
    <col customWidth="1" min="4" max="4" width="23.25"/>
    <col customWidth="1" min="5" max="5" width="20.13"/>
  </cols>
  <sheetData>
    <row r="1">
      <c r="A1" s="49" t="s">
        <v>324</v>
      </c>
      <c r="B1" s="49" t="s">
        <v>325</v>
      </c>
      <c r="C1" s="49" t="s">
        <v>326</v>
      </c>
      <c r="D1" s="49" t="s">
        <v>327</v>
      </c>
      <c r="E1" s="49" t="s">
        <v>328</v>
      </c>
      <c r="F1" s="50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>
      <c r="A2" s="52" t="s">
        <v>329</v>
      </c>
      <c r="B2" s="52" t="s">
        <v>330</v>
      </c>
      <c r="C2" s="53">
        <v>11.0</v>
      </c>
      <c r="D2" s="54">
        <v>1603.76</v>
      </c>
      <c r="E2" s="54">
        <v>17641.36</v>
      </c>
      <c r="F2" s="50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>
      <c r="A3" s="52" t="s">
        <v>331</v>
      </c>
      <c r="B3" s="52" t="s">
        <v>330</v>
      </c>
      <c r="C3" s="53">
        <v>14.0</v>
      </c>
      <c r="D3" s="54">
        <v>2329.76</v>
      </c>
      <c r="E3" s="54">
        <v>32616.64</v>
      </c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>
      <c r="A4" s="52" t="s">
        <v>332</v>
      </c>
      <c r="B4" s="52" t="s">
        <v>330</v>
      </c>
      <c r="C4" s="53">
        <v>5.0</v>
      </c>
      <c r="D4" s="54">
        <v>1163.62</v>
      </c>
      <c r="E4" s="54">
        <v>5818.1</v>
      </c>
      <c r="F4" s="50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>
      <c r="A5" s="52" t="s">
        <v>333</v>
      </c>
      <c r="B5" s="52" t="s">
        <v>330</v>
      </c>
      <c r="C5" s="53">
        <v>1.0</v>
      </c>
      <c r="D5" s="54">
        <v>903.93</v>
      </c>
      <c r="E5" s="54">
        <v>903.93</v>
      </c>
      <c r="F5" s="50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>
      <c r="A6" s="55"/>
      <c r="B6" s="55"/>
      <c r="C6" s="55"/>
      <c r="D6" s="56" t="s">
        <v>334</v>
      </c>
      <c r="E6" s="57">
        <v>56980.03</v>
      </c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>
      <c r="A8" s="58" t="s">
        <v>335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>
      <c r="A9" s="50" t="s">
        <v>336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50" t="s">
        <v>337</v>
      </c>
      <c r="B10" s="51"/>
      <c r="C10" s="51"/>
      <c r="D10" s="51"/>
      <c r="E10" s="51"/>
      <c r="F10" s="51"/>
      <c r="G10" s="50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>
      <c r="A11" s="51"/>
      <c r="B11" s="51"/>
      <c r="C11" s="51"/>
      <c r="D11" s="51"/>
      <c r="E11" s="51"/>
      <c r="F11" s="51"/>
      <c r="G11" s="50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50" t="s">
        <v>338</v>
      </c>
      <c r="B12" s="51"/>
      <c r="C12" s="51"/>
      <c r="D12" s="51"/>
      <c r="E12" s="51"/>
      <c r="F12" s="51"/>
      <c r="G12" s="51"/>
      <c r="H12" s="50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9" t="s">
        <v>339</v>
      </c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>
      <c r="A2" s="60" t="s">
        <v>340</v>
      </c>
      <c r="B2" s="60" t="s">
        <v>341</v>
      </c>
      <c r="C2" s="61" t="s">
        <v>342</v>
      </c>
      <c r="D2" s="61" t="s">
        <v>343</v>
      </c>
      <c r="E2" s="60" t="s">
        <v>344</v>
      </c>
      <c r="F2" s="61" t="s">
        <v>345</v>
      </c>
      <c r="G2" s="60" t="s">
        <v>346</v>
      </c>
      <c r="H2" s="60" t="s">
        <v>347</v>
      </c>
      <c r="I2" s="60" t="s">
        <v>348</v>
      </c>
      <c r="J2" s="61" t="s">
        <v>349</v>
      </c>
      <c r="K2" s="61" t="s">
        <v>350</v>
      </c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>
      <c r="A3" s="62">
        <v>1.0</v>
      </c>
      <c r="B3" s="63" t="s">
        <v>351</v>
      </c>
      <c r="C3" s="62" t="s">
        <v>352</v>
      </c>
      <c r="D3" s="62">
        <v>6.0</v>
      </c>
      <c r="E3" s="63" t="s">
        <v>353</v>
      </c>
      <c r="F3" s="62" t="s">
        <v>354</v>
      </c>
      <c r="G3" s="63" t="s">
        <v>355</v>
      </c>
      <c r="H3" s="63" t="s">
        <v>356</v>
      </c>
      <c r="I3" s="63" t="s">
        <v>357</v>
      </c>
      <c r="J3" s="62">
        <v>1.0</v>
      </c>
      <c r="K3" s="64">
        <v>65.0</v>
      </c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>
      <c r="A4" s="62">
        <v>2.0</v>
      </c>
      <c r="B4" s="63" t="s">
        <v>358</v>
      </c>
      <c r="C4" s="62" t="s">
        <v>359</v>
      </c>
      <c r="D4" s="62">
        <v>14.0</v>
      </c>
      <c r="E4" s="63" t="s">
        <v>360</v>
      </c>
      <c r="F4" s="62" t="s">
        <v>361</v>
      </c>
      <c r="G4" s="63" t="s">
        <v>355</v>
      </c>
      <c r="H4" s="63" t="s">
        <v>356</v>
      </c>
      <c r="I4" s="63" t="s">
        <v>357</v>
      </c>
      <c r="J4" s="62">
        <v>2.0</v>
      </c>
      <c r="K4" s="64">
        <f t="shared" ref="K4:K5" si="1">65*2</f>
        <v>130</v>
      </c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>
      <c r="A5" s="62">
        <v>3.0</v>
      </c>
      <c r="B5" s="63" t="s">
        <v>362</v>
      </c>
      <c r="C5" s="62" t="s">
        <v>363</v>
      </c>
      <c r="D5" s="62">
        <v>11.0</v>
      </c>
      <c r="E5" s="63" t="s">
        <v>364</v>
      </c>
      <c r="F5" s="62" t="s">
        <v>365</v>
      </c>
      <c r="G5" s="63" t="s">
        <v>355</v>
      </c>
      <c r="H5" s="63" t="s">
        <v>356</v>
      </c>
      <c r="I5" s="63" t="s">
        <v>357</v>
      </c>
      <c r="J5" s="62">
        <v>2.0</v>
      </c>
      <c r="K5" s="64">
        <f t="shared" si="1"/>
        <v>130</v>
      </c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>
      <c r="A6" s="51"/>
      <c r="B6" s="51"/>
      <c r="C6" s="51"/>
      <c r="D6" s="51"/>
      <c r="E6" s="51"/>
      <c r="F6" s="51"/>
      <c r="G6" s="51"/>
      <c r="H6" s="51"/>
      <c r="I6" s="65" t="s">
        <v>366</v>
      </c>
      <c r="J6" s="62">
        <v>5.0</v>
      </c>
      <c r="K6" s="64">
        <f>SUM(K3:K5)</f>
        <v>325</v>
      </c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>
      <c r="A7" s="51"/>
      <c r="B7" s="51"/>
      <c r="C7" s="51"/>
      <c r="D7" s="51"/>
      <c r="E7" s="51"/>
      <c r="F7" s="51"/>
      <c r="G7" s="51"/>
      <c r="H7" s="51"/>
      <c r="I7" s="65" t="s">
        <v>17</v>
      </c>
      <c r="K7" s="64">
        <f>(K6*13%)</f>
        <v>42.25</v>
      </c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>
      <c r="A8" s="51"/>
      <c r="B8" s="51"/>
      <c r="C8" s="51"/>
      <c r="D8" s="51"/>
      <c r="E8" s="51"/>
      <c r="F8" s="51"/>
      <c r="G8" s="51"/>
      <c r="H8" s="51"/>
      <c r="I8" s="65" t="s">
        <v>367</v>
      </c>
      <c r="K8" s="66">
        <f>K6+(K6*13%)</f>
        <v>367.25</v>
      </c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59" t="s">
        <v>368</v>
      </c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>
      <c r="A11" s="60" t="s">
        <v>369</v>
      </c>
      <c r="B11" s="60" t="s">
        <v>370</v>
      </c>
      <c r="C11" s="61" t="s">
        <v>345</v>
      </c>
      <c r="D11" s="61" t="s">
        <v>371</v>
      </c>
      <c r="E11" s="60" t="s">
        <v>346</v>
      </c>
      <c r="F11" s="60" t="s">
        <v>347</v>
      </c>
      <c r="G11" s="60" t="s">
        <v>348</v>
      </c>
      <c r="H11" s="61" t="s">
        <v>349</v>
      </c>
      <c r="I11" s="61" t="s">
        <v>350</v>
      </c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63" t="s">
        <v>372</v>
      </c>
      <c r="B12" s="63" t="s">
        <v>373</v>
      </c>
      <c r="C12" s="62" t="s">
        <v>374</v>
      </c>
      <c r="D12" s="62" t="s">
        <v>375</v>
      </c>
      <c r="E12" s="63" t="s">
        <v>356</v>
      </c>
      <c r="F12" s="63" t="s">
        <v>376</v>
      </c>
      <c r="G12" s="63" t="s">
        <v>357</v>
      </c>
      <c r="H12" s="62">
        <v>3.0</v>
      </c>
      <c r="I12" s="64">
        <v>435.0</v>
      </c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63" t="s">
        <v>372</v>
      </c>
      <c r="B13" s="63" t="s">
        <v>377</v>
      </c>
      <c r="C13" s="62" t="s">
        <v>378</v>
      </c>
      <c r="D13" s="62" t="s">
        <v>379</v>
      </c>
      <c r="E13" s="63" t="s">
        <v>376</v>
      </c>
      <c r="F13" s="63" t="s">
        <v>356</v>
      </c>
      <c r="G13" s="63" t="s">
        <v>357</v>
      </c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63" t="s">
        <v>380</v>
      </c>
      <c r="B14" s="63" t="s">
        <v>373</v>
      </c>
      <c r="C14" s="63" t="s">
        <v>381</v>
      </c>
      <c r="D14" s="63" t="s">
        <v>382</v>
      </c>
      <c r="E14" s="63" t="s">
        <v>356</v>
      </c>
      <c r="F14" s="63" t="s">
        <v>376</v>
      </c>
      <c r="G14" s="63" t="s">
        <v>357</v>
      </c>
      <c r="H14" s="62">
        <v>3.0</v>
      </c>
      <c r="I14" s="64">
        <v>435.0</v>
      </c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63" t="s">
        <v>380</v>
      </c>
      <c r="B15" s="63" t="s">
        <v>377</v>
      </c>
      <c r="C15" s="63" t="s">
        <v>383</v>
      </c>
      <c r="D15" s="63" t="s">
        <v>384</v>
      </c>
      <c r="E15" s="63" t="s">
        <v>376</v>
      </c>
      <c r="F15" s="63" t="s">
        <v>356</v>
      </c>
      <c r="G15" s="63" t="s">
        <v>357</v>
      </c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A16" s="63" t="s">
        <v>385</v>
      </c>
      <c r="B16" s="63" t="s">
        <v>373</v>
      </c>
      <c r="C16" s="63" t="s">
        <v>381</v>
      </c>
      <c r="D16" s="63" t="s">
        <v>382</v>
      </c>
      <c r="E16" s="63" t="s">
        <v>356</v>
      </c>
      <c r="F16" s="63" t="s">
        <v>376</v>
      </c>
      <c r="G16" s="63" t="s">
        <v>357</v>
      </c>
      <c r="H16" s="62">
        <v>3.0</v>
      </c>
      <c r="I16" s="64">
        <v>435.0</v>
      </c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63" t="s">
        <v>385</v>
      </c>
      <c r="B17" s="63" t="s">
        <v>386</v>
      </c>
      <c r="C17" s="63" t="s">
        <v>383</v>
      </c>
      <c r="D17" s="63" t="s">
        <v>387</v>
      </c>
      <c r="E17" s="63" t="s">
        <v>376</v>
      </c>
      <c r="F17" s="63" t="s">
        <v>388</v>
      </c>
      <c r="G17" s="63" t="s">
        <v>357</v>
      </c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63" t="s">
        <v>385</v>
      </c>
      <c r="B18" s="63" t="s">
        <v>389</v>
      </c>
      <c r="C18" s="63" t="s">
        <v>390</v>
      </c>
      <c r="D18" s="63" t="s">
        <v>391</v>
      </c>
      <c r="E18" s="63" t="s">
        <v>388</v>
      </c>
      <c r="F18" s="63" t="s">
        <v>356</v>
      </c>
      <c r="G18" s="63" t="s">
        <v>357</v>
      </c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51"/>
      <c r="B19" s="51"/>
      <c r="C19" s="51"/>
      <c r="D19" s="51"/>
      <c r="E19" s="51"/>
      <c r="F19" s="51"/>
      <c r="G19" s="65" t="s">
        <v>366</v>
      </c>
      <c r="H19" s="62">
        <f t="shared" ref="H19:I19" si="2">SUM(H12:H18)</f>
        <v>9</v>
      </c>
      <c r="I19" s="64">
        <f t="shared" si="2"/>
        <v>1305</v>
      </c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51"/>
      <c r="B20" s="51"/>
      <c r="C20" s="51"/>
      <c r="D20" s="51"/>
      <c r="E20" s="51"/>
      <c r="F20" s="51"/>
      <c r="G20" s="65" t="s">
        <v>17</v>
      </c>
      <c r="I20" s="64">
        <f>(I19*13%)</f>
        <v>169.65</v>
      </c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>
      <c r="A21" s="51"/>
      <c r="B21" s="51"/>
      <c r="C21" s="51"/>
      <c r="D21" s="51"/>
      <c r="E21" s="51"/>
      <c r="F21" s="51"/>
      <c r="G21" s="65" t="s">
        <v>367</v>
      </c>
      <c r="I21" s="66">
        <f>I19+(I19*13%)</f>
        <v>1474.65</v>
      </c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>
      <c r="A23" s="59" t="s">
        <v>392</v>
      </c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>
      <c r="A24" s="60" t="s">
        <v>340</v>
      </c>
      <c r="B24" s="60" t="s">
        <v>393</v>
      </c>
      <c r="C24" s="61" t="s">
        <v>394</v>
      </c>
      <c r="D24" s="61" t="s">
        <v>343</v>
      </c>
      <c r="E24" s="60" t="s">
        <v>344</v>
      </c>
      <c r="F24" s="61" t="s">
        <v>345</v>
      </c>
      <c r="G24" s="60" t="s">
        <v>346</v>
      </c>
      <c r="H24" s="60" t="s">
        <v>347</v>
      </c>
      <c r="I24" s="60" t="s">
        <v>348</v>
      </c>
      <c r="J24" s="61" t="s">
        <v>349</v>
      </c>
      <c r="K24" s="61" t="s">
        <v>350</v>
      </c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>
      <c r="A25" s="62">
        <v>1.0</v>
      </c>
      <c r="B25" s="63" t="s">
        <v>358</v>
      </c>
      <c r="C25" s="62" t="s">
        <v>395</v>
      </c>
      <c r="D25" s="62">
        <v>14.0</v>
      </c>
      <c r="E25" s="63" t="s">
        <v>360</v>
      </c>
      <c r="F25" s="62" t="s">
        <v>396</v>
      </c>
      <c r="G25" s="63" t="s">
        <v>356</v>
      </c>
      <c r="H25" s="63" t="s">
        <v>355</v>
      </c>
      <c r="I25" s="63" t="s">
        <v>357</v>
      </c>
      <c r="J25" s="62">
        <v>2.0</v>
      </c>
      <c r="K25" s="64">
        <f>65*2</f>
        <v>130</v>
      </c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>
      <c r="A26" s="62">
        <v>2.0</v>
      </c>
      <c r="B26" s="63" t="s">
        <v>397</v>
      </c>
      <c r="C26" s="62" t="s">
        <v>398</v>
      </c>
      <c r="D26" s="62">
        <v>6.0</v>
      </c>
      <c r="E26" s="63" t="s">
        <v>399</v>
      </c>
      <c r="F26" s="62" t="s">
        <v>400</v>
      </c>
      <c r="G26" s="63" t="s">
        <v>356</v>
      </c>
      <c r="H26" s="63" t="s">
        <v>355</v>
      </c>
      <c r="I26" s="63" t="s">
        <v>357</v>
      </c>
      <c r="J26" s="62">
        <v>1.0</v>
      </c>
      <c r="K26" s="64">
        <v>65.0</v>
      </c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>
      <c r="A27" s="62">
        <v>3.0</v>
      </c>
      <c r="B27" s="63" t="s">
        <v>362</v>
      </c>
      <c r="C27" s="62" t="s">
        <v>401</v>
      </c>
      <c r="D27" s="62">
        <v>11.0</v>
      </c>
      <c r="E27" s="63" t="s">
        <v>364</v>
      </c>
      <c r="F27" s="62" t="s">
        <v>374</v>
      </c>
      <c r="G27" s="63" t="s">
        <v>356</v>
      </c>
      <c r="H27" s="63" t="s">
        <v>355</v>
      </c>
      <c r="I27" s="63" t="s">
        <v>357</v>
      </c>
      <c r="J27" s="62">
        <v>2.0</v>
      </c>
      <c r="K27" s="64">
        <f>65*2</f>
        <v>130</v>
      </c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>
      <c r="A28" s="51"/>
      <c r="B28" s="51"/>
      <c r="C28" s="51"/>
      <c r="D28" s="51"/>
      <c r="E28" s="51"/>
      <c r="F28" s="51"/>
      <c r="G28" s="51"/>
      <c r="H28" s="51"/>
      <c r="I28" s="65" t="s">
        <v>366</v>
      </c>
      <c r="J28" s="62">
        <v>5.0</v>
      </c>
      <c r="K28" s="64">
        <f>SUM(K25:K27)</f>
        <v>325</v>
      </c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>
      <c r="A29" s="51"/>
      <c r="B29" s="51"/>
      <c r="C29" s="51"/>
      <c r="D29" s="51"/>
      <c r="E29" s="51"/>
      <c r="F29" s="51"/>
      <c r="G29" s="51"/>
      <c r="H29" s="51"/>
      <c r="I29" s="65" t="s">
        <v>17</v>
      </c>
      <c r="K29" s="64">
        <f>(K28*13%)</f>
        <v>42.25</v>
      </c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>
      <c r="A30" s="51"/>
      <c r="B30" s="51"/>
      <c r="C30" s="51"/>
      <c r="D30" s="51"/>
      <c r="E30" s="51"/>
      <c r="F30" s="51"/>
      <c r="G30" s="51"/>
      <c r="H30" s="51"/>
      <c r="I30" s="65" t="s">
        <v>367</v>
      </c>
      <c r="K30" s="66">
        <f>K28+(K28*13%)</f>
        <v>367.25</v>
      </c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  <row r="1001">
      <c r="A1001" s="51"/>
      <c r="B1001" s="51"/>
      <c r="C1001" s="51"/>
      <c r="D1001" s="51"/>
      <c r="E1001" s="51"/>
      <c r="F1001" s="51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</row>
    <row r="1002">
      <c r="A1002" s="51"/>
      <c r="B1002" s="51"/>
      <c r="C1002" s="51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  <c r="S1002" s="51"/>
      <c r="T1002" s="51"/>
      <c r="U1002" s="51"/>
      <c r="V1002" s="51"/>
      <c r="W1002" s="51"/>
      <c r="X1002" s="51"/>
      <c r="Y1002" s="51"/>
      <c r="Z1002" s="51"/>
    </row>
    <row r="1003">
      <c r="A1003" s="51"/>
      <c r="B1003" s="51"/>
      <c r="C1003" s="51"/>
      <c r="D1003" s="51"/>
      <c r="E1003" s="51"/>
      <c r="F1003" s="51"/>
      <c r="G1003" s="51"/>
      <c r="H1003" s="51"/>
      <c r="I1003" s="51"/>
      <c r="J1003" s="51"/>
      <c r="K1003" s="51"/>
      <c r="L1003" s="51"/>
      <c r="M1003" s="51"/>
      <c r="N1003" s="51"/>
      <c r="O1003" s="51"/>
      <c r="P1003" s="51"/>
      <c r="Q1003" s="51"/>
      <c r="R1003" s="51"/>
      <c r="S1003" s="51"/>
      <c r="T1003" s="51"/>
      <c r="U1003" s="51"/>
      <c r="V1003" s="51"/>
      <c r="W1003" s="51"/>
      <c r="X1003" s="51"/>
      <c r="Y1003" s="51"/>
      <c r="Z1003" s="51"/>
    </row>
    <row r="1004">
      <c r="A1004" s="51"/>
      <c r="B1004" s="51"/>
      <c r="C1004" s="51"/>
      <c r="D1004" s="51"/>
      <c r="E1004" s="51"/>
      <c r="F1004" s="51"/>
      <c r="G1004" s="51"/>
      <c r="H1004" s="51"/>
      <c r="I1004" s="51"/>
      <c r="J1004" s="51"/>
      <c r="K1004" s="51"/>
      <c r="L1004" s="51"/>
      <c r="M1004" s="51"/>
      <c r="N1004" s="51"/>
      <c r="O1004" s="51"/>
      <c r="P1004" s="51"/>
      <c r="Q1004" s="51"/>
      <c r="R1004" s="51"/>
      <c r="S1004" s="51"/>
      <c r="T1004" s="51"/>
      <c r="U1004" s="51"/>
      <c r="V1004" s="51"/>
      <c r="W1004" s="51"/>
      <c r="X1004" s="51"/>
      <c r="Y1004" s="51"/>
      <c r="Z1004" s="51"/>
    </row>
    <row r="1005">
      <c r="A1005" s="51"/>
      <c r="B1005" s="51"/>
      <c r="C1005" s="51"/>
      <c r="D1005" s="51"/>
      <c r="E1005" s="51"/>
      <c r="F1005" s="51"/>
      <c r="G1005" s="51"/>
      <c r="H1005" s="51"/>
      <c r="I1005" s="51"/>
      <c r="J1005" s="51"/>
      <c r="K1005" s="51"/>
      <c r="L1005" s="51"/>
      <c r="M1005" s="51"/>
      <c r="N1005" s="51"/>
      <c r="O1005" s="51"/>
      <c r="P1005" s="51"/>
      <c r="Q1005" s="51"/>
      <c r="R1005" s="51"/>
      <c r="S1005" s="51"/>
      <c r="T1005" s="51"/>
      <c r="U1005" s="51"/>
      <c r="V1005" s="51"/>
      <c r="W1005" s="51"/>
      <c r="X1005" s="51"/>
      <c r="Y1005" s="51"/>
      <c r="Z1005" s="51"/>
    </row>
    <row r="1006">
      <c r="A1006" s="51"/>
      <c r="B1006" s="51"/>
      <c r="C1006" s="51"/>
      <c r="D1006" s="51"/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  <c r="S1006" s="51"/>
      <c r="T1006" s="51"/>
      <c r="U1006" s="51"/>
      <c r="V1006" s="51"/>
      <c r="W1006" s="51"/>
      <c r="X1006" s="51"/>
      <c r="Y1006" s="51"/>
      <c r="Z1006" s="51"/>
    </row>
    <row r="1007">
      <c r="A1007" s="51"/>
      <c r="B1007" s="51"/>
      <c r="C1007" s="51"/>
      <c r="D1007" s="51"/>
      <c r="E1007" s="51"/>
      <c r="F1007" s="51"/>
      <c r="G1007" s="51"/>
      <c r="H1007" s="51"/>
      <c r="I1007" s="51"/>
      <c r="J1007" s="51"/>
      <c r="K1007" s="51"/>
      <c r="L1007" s="51"/>
      <c r="M1007" s="51"/>
      <c r="N1007" s="51"/>
      <c r="O1007" s="51"/>
      <c r="P1007" s="51"/>
      <c r="Q1007" s="51"/>
      <c r="R1007" s="51"/>
      <c r="S1007" s="51"/>
      <c r="T1007" s="51"/>
      <c r="U1007" s="51"/>
      <c r="V1007" s="51"/>
      <c r="W1007" s="51"/>
      <c r="X1007" s="51"/>
      <c r="Y1007" s="51"/>
      <c r="Z1007" s="51"/>
    </row>
    <row r="1008">
      <c r="A1008" s="51"/>
      <c r="B1008" s="51"/>
      <c r="C1008" s="51"/>
      <c r="D1008" s="51"/>
      <c r="E1008" s="51"/>
      <c r="F1008" s="51"/>
      <c r="G1008" s="51"/>
      <c r="H1008" s="51"/>
      <c r="I1008" s="51"/>
      <c r="J1008" s="51"/>
      <c r="K1008" s="51"/>
      <c r="L1008" s="51"/>
      <c r="M1008" s="51"/>
      <c r="N1008" s="51"/>
      <c r="O1008" s="51"/>
      <c r="P1008" s="51"/>
      <c r="Q1008" s="51"/>
      <c r="R1008" s="51"/>
      <c r="S1008" s="51"/>
      <c r="T1008" s="51"/>
      <c r="U1008" s="51"/>
      <c r="V1008" s="51"/>
      <c r="W1008" s="51"/>
      <c r="X1008" s="51"/>
      <c r="Y1008" s="51"/>
      <c r="Z1008" s="51"/>
    </row>
    <row r="1009">
      <c r="A1009" s="51"/>
      <c r="B1009" s="51"/>
      <c r="C1009" s="51"/>
      <c r="D1009" s="51"/>
      <c r="E1009" s="51"/>
      <c r="F1009" s="51"/>
      <c r="G1009" s="51"/>
      <c r="H1009" s="51"/>
      <c r="I1009" s="51"/>
      <c r="J1009" s="51"/>
      <c r="K1009" s="51"/>
      <c r="L1009" s="51"/>
      <c r="M1009" s="51"/>
      <c r="N1009" s="51"/>
      <c r="O1009" s="51"/>
      <c r="P1009" s="51"/>
      <c r="Q1009" s="51"/>
      <c r="R1009" s="51"/>
      <c r="S1009" s="51"/>
      <c r="T1009" s="51"/>
      <c r="U1009" s="51"/>
      <c r="V1009" s="51"/>
      <c r="W1009" s="51"/>
      <c r="X1009" s="51"/>
      <c r="Y1009" s="51"/>
      <c r="Z1009" s="51"/>
    </row>
    <row r="1010">
      <c r="A1010" s="51"/>
      <c r="B1010" s="51"/>
      <c r="C1010" s="51"/>
      <c r="D1010" s="51"/>
      <c r="E1010" s="5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  <c r="S1010" s="51"/>
      <c r="T1010" s="51"/>
      <c r="U1010" s="51"/>
      <c r="V1010" s="51"/>
      <c r="W1010" s="51"/>
      <c r="X1010" s="51"/>
      <c r="Y1010" s="51"/>
      <c r="Z1010" s="51"/>
    </row>
    <row r="1011">
      <c r="A1011" s="51"/>
      <c r="B1011" s="51"/>
      <c r="C1011" s="51"/>
      <c r="D1011" s="51"/>
      <c r="E1011" s="51"/>
      <c r="F1011" s="51"/>
      <c r="G1011" s="51"/>
      <c r="H1011" s="51"/>
      <c r="I1011" s="51"/>
      <c r="J1011" s="51"/>
      <c r="K1011" s="51"/>
      <c r="L1011" s="51"/>
      <c r="M1011" s="51"/>
      <c r="N1011" s="51"/>
      <c r="O1011" s="51"/>
      <c r="P1011" s="51"/>
      <c r="Q1011" s="51"/>
      <c r="R1011" s="51"/>
      <c r="S1011" s="51"/>
      <c r="T1011" s="51"/>
      <c r="U1011" s="51"/>
      <c r="V1011" s="51"/>
      <c r="W1011" s="51"/>
      <c r="X1011" s="51"/>
      <c r="Y1011" s="51"/>
      <c r="Z1011" s="51"/>
    </row>
    <row r="1012">
      <c r="A1012" s="51"/>
      <c r="B1012" s="51"/>
      <c r="C1012" s="51"/>
      <c r="D1012" s="51"/>
      <c r="E1012" s="51"/>
      <c r="F1012" s="51"/>
      <c r="G1012" s="51"/>
      <c r="H1012" s="51"/>
      <c r="I1012" s="51"/>
      <c r="J1012" s="51"/>
      <c r="K1012" s="51"/>
      <c r="L1012" s="51"/>
      <c r="M1012" s="51"/>
      <c r="N1012" s="51"/>
      <c r="O1012" s="51"/>
      <c r="P1012" s="51"/>
      <c r="Q1012" s="51"/>
      <c r="R1012" s="51"/>
      <c r="S1012" s="51"/>
      <c r="T1012" s="51"/>
      <c r="U1012" s="51"/>
      <c r="V1012" s="51"/>
      <c r="W1012" s="51"/>
      <c r="X1012" s="51"/>
      <c r="Y1012" s="51"/>
      <c r="Z1012" s="51"/>
    </row>
    <row r="1013">
      <c r="A1013" s="51"/>
      <c r="B1013" s="51"/>
      <c r="C1013" s="51"/>
      <c r="D1013" s="51"/>
      <c r="E1013" s="51"/>
      <c r="F1013" s="51"/>
      <c r="G1013" s="51"/>
      <c r="H1013" s="51"/>
      <c r="I1013" s="51"/>
      <c r="J1013" s="51"/>
      <c r="K1013" s="51"/>
      <c r="L1013" s="51"/>
      <c r="M1013" s="51"/>
      <c r="N1013" s="51"/>
      <c r="O1013" s="51"/>
      <c r="P1013" s="51"/>
      <c r="Q1013" s="51"/>
      <c r="R1013" s="51"/>
      <c r="S1013" s="51"/>
      <c r="T1013" s="51"/>
      <c r="U1013" s="51"/>
      <c r="V1013" s="51"/>
      <c r="W1013" s="51"/>
      <c r="X1013" s="51"/>
      <c r="Y1013" s="51"/>
      <c r="Z1013" s="51"/>
    </row>
    <row r="1014">
      <c r="A1014" s="51"/>
      <c r="B1014" s="51"/>
      <c r="C1014" s="51"/>
      <c r="D1014" s="51"/>
      <c r="E1014" s="51"/>
      <c r="F1014" s="51"/>
      <c r="G1014" s="51"/>
      <c r="H1014" s="51"/>
      <c r="I1014" s="51"/>
      <c r="J1014" s="51"/>
      <c r="K1014" s="51"/>
      <c r="L1014" s="51"/>
      <c r="M1014" s="51"/>
      <c r="N1014" s="51"/>
      <c r="O1014" s="51"/>
      <c r="P1014" s="51"/>
      <c r="Q1014" s="51"/>
      <c r="R1014" s="51"/>
      <c r="S1014" s="51"/>
      <c r="T1014" s="51"/>
      <c r="U1014" s="51"/>
      <c r="V1014" s="51"/>
      <c r="W1014" s="51"/>
      <c r="X1014" s="51"/>
      <c r="Y1014" s="51"/>
      <c r="Z1014" s="51"/>
    </row>
  </sheetData>
  <mergeCells count="15">
    <mergeCell ref="H14:H15"/>
    <mergeCell ref="H16:H18"/>
    <mergeCell ref="I16:I18"/>
    <mergeCell ref="G20:H20"/>
    <mergeCell ref="G21:H21"/>
    <mergeCell ref="A23:K23"/>
    <mergeCell ref="I29:J29"/>
    <mergeCell ref="I30:J30"/>
    <mergeCell ref="A1:K1"/>
    <mergeCell ref="I7:J7"/>
    <mergeCell ref="I8:J8"/>
    <mergeCell ref="A10:I10"/>
    <mergeCell ref="H12:H13"/>
    <mergeCell ref="I12:I13"/>
    <mergeCell ref="I14:I15"/>
  </mergeCells>
  <drawing r:id="rId1"/>
</worksheet>
</file>
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Menu_Setup" sheetId="2" r:id="rId5"/>
    <sheet state="visible" name="Orden_y_Costos" sheetId="3" r:id="rId6"/>
  </sheets>
  <definedNames>
    <definedName hidden="1" localSheetId="2" name="_xlnm._FilterDatabase">Orden_y_Costos!$A$12:$P$33</definedName>
  </definedNames>
  <calcPr/>
  <extLst>
    <ext uri="GoogleSheetsCustomDataVersion2">
      <go:sheetsCustomData xmlns:go="http://customooxmlschemas.google.com/" r:id="rId7" roundtripDataChecksum="3cXf8cD1wI3zhJkit0tcpOlEScPJQfasZwj6TKDEvO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======
ID#AAAB0xw0U_M
OpenAI    (2026-03-03 02:15:59)
Fuente de precio: menú PDF de Delibanquetes compartido por la usuaria.</t>
      </text>
    </comment>
    <comment authorId="0" ref="D19">
      <text>
        <t xml:space="preserve">======
ID#AAAB0xw0U_Q
OpenAI    (2026-03-03 02:15:59)
Fuente de precio: menú PDF de Delibanquetes compartido por la usuaria.</t>
      </text>
    </comment>
    <comment authorId="0" ref="D8">
      <text>
        <t xml:space="preserve">======
ID#AAAB0xw0U_E
OpenAI    (2026-03-03 02:15:59)
Fuente de precio: menú PDF de Delibanquetes compartido por la usuaria.</t>
      </text>
    </comment>
    <comment authorId="0" ref="D6">
      <text>
        <t xml:space="preserve">======
ID#AAAB0xw0U_I
OpenAI    (2026-03-03 02:15:59)
Fuente de precio: menú PDF de Delibanquetes compartido por la usuaria.</t>
      </text>
    </comment>
    <comment authorId="0" ref="D5">
      <text>
        <t xml:space="preserve">======
ID#AAAB0xw0U_A
OpenAI    (2026-03-03 02:15:59)
Fuente de precio: menú PDF de Delibanquetes compartido por la usuaria.</t>
      </text>
    </comment>
    <comment authorId="0" ref="D10">
      <text>
        <t xml:space="preserve">======
ID#AAAB0xw0U-4
OpenAI    (2026-03-03 02:15:59)
Fuente de precio: menú PDF de Delibanquetes compartido por la usuaria.</t>
      </text>
    </comment>
    <comment authorId="0" ref="D3">
      <text>
        <t xml:space="preserve">======
ID#AAAB0xw0U-8
OpenAI    (2026-03-03 02:15:59)
Fuente de precio: menú PDF de Delibanquetes compartido por la usuaria.</t>
      </text>
    </comment>
    <comment authorId="0" ref="D16">
      <text>
        <t xml:space="preserve">======
ID#AAAB0xw0U-0
OpenAI    (2026-03-03 02:15:59)
Fuente de precio: menú PDF de Delibanquetes compartido por la usuaria.</t>
      </text>
    </comment>
    <comment authorId="0" ref="D21">
      <text>
        <t xml:space="preserve">======
ID#AAAB0xw0U-s
OpenAI    (2026-03-03 02:15:59)
Fuente de precio: menú PDF de Delibanquetes compartido por la usuaria.</t>
      </text>
    </comment>
    <comment authorId="0" ref="D17">
      <text>
        <t xml:space="preserve">======
ID#AAAB0xw0U-w
OpenAI    (2026-03-03 02:15:59)
Fuente de precio: menú PDF de Delibanquetes compartido por la usuaria.</t>
      </text>
    </comment>
    <comment authorId="0" ref="D20">
      <text>
        <t xml:space="preserve">======
ID#AAAB0xw0UXI
OpenAI    (2026-03-03 02:15:59)
Fuente de precio: menú PDF de Delibanquetes compartido por la usuaria.</t>
      </text>
    </comment>
    <comment authorId="0" ref="D18">
      <text>
        <t xml:space="preserve">======
ID#AAAB0xw0UXA
OpenAI    (2026-03-03 02:15:59)
Fuente de precio: menú PDF de Delibanquetes compartido por la usuaria.</t>
      </text>
    </comment>
    <comment authorId="0" ref="D14">
      <text>
        <t xml:space="preserve">======
ID#AAAB0xw0UXE
OpenAI    (2026-03-03 02:15:59)
Fuente de precio: menú PDF de Delibanquetes compartido por la usuaria.</t>
      </text>
    </comment>
    <comment authorId="0" ref="D7">
      <text>
        <t xml:space="preserve">======
ID#AAAB0xw0UW4
OpenAI    (2026-03-03 02:15:59)
Fuente de precio: menú PDF de Delibanquetes compartido por la usuaria.</t>
      </text>
    </comment>
    <comment authorId="0" ref="D12">
      <text>
        <t xml:space="preserve">======
ID#AAAB0xw0UW8
OpenAI    (2026-03-03 02:15:59)
Fuente de precio: menú PDF de Delibanquetes compartido por la usuaria.</t>
      </text>
    </comment>
    <comment authorId="0" ref="D15">
      <text>
        <t xml:space="preserve">======
ID#AAAB0xw0UWw
OpenAI    (2026-03-03 02:15:59)
Fuente de precio: menú PDF de Delibanquetes compartido por la usuaria.</t>
      </text>
    </comment>
    <comment authorId="0" ref="D23">
      <text>
        <t xml:space="preserve">======
ID#AAAB0xw0UW0
OpenAI    (2026-03-03 02:15:59)
Fuente de precio: menú PDF de Delibanquetes compartido por la usuaria.</t>
      </text>
    </comment>
    <comment authorId="0" ref="D22">
      <text>
        <t xml:space="preserve">======
ID#AAAB0xw0UWs
OpenAI    (2026-03-03 02:15:59)
Fuente de precio: menú PDF de Delibanquetes compartido por la usuaria.</t>
      </text>
    </comment>
    <comment authorId="0" ref="D9">
      <text>
        <t xml:space="preserve">======
ID#AAAB0xw0UWo
OpenAI    (2026-03-03 02:15:59)
Fuente de precio: menú PDF de Delibanquetes compartido por la usuaria.</t>
      </text>
    </comment>
    <comment authorId="0" ref="D4">
      <text>
        <t xml:space="preserve">======
ID#AAAB0xw0UWg
OpenAI    (2026-03-03 02:15:59)
Fuente de precio: menú PDF de Delibanquetes compartido por la usuaria.</t>
      </text>
    </comment>
    <comment authorId="0" ref="D13">
      <text>
        <t xml:space="preserve">======
ID#AAAB0xw0UWk
OpenAI    (2026-03-03 02:15:59)
Fuente de precio: menú PDF de Delibanquetes compartido por la usuaria.</t>
      </text>
    </comment>
  </commentList>
  <extLst>
    <ext uri="GoogleSheetsCustomDataVersion2">
      <go:sheetsCustomData xmlns:go="http://customooxmlschemas.google.com/" r:id="rId1" roundtripDataSignature="AMtx7mgzkjjC8jMQJGHTY5zhff75jJg0YA=="/>
    </ext>
  </extLst>
</comments>
</file>

<file path=xl/sharedStrings.xml><?xml version="1.0" encoding="utf-8"?>
<sst xmlns="http://schemas.openxmlformats.org/spreadsheetml/2006/main" count="168" uniqueCount="102">
  <si>
    <t>Plantilla final de planificación - Coctel (Delibanquetes)</t>
  </si>
  <si>
    <t>Escenario A (bajo) - Invitados</t>
  </si>
  <si>
    <t>Escenario B (alto) - Invitados</t>
  </si>
  <si>
    <t>Bocas saladas por invitado</t>
  </si>
  <si>
    <t>Bocas dulces por invitado</t>
  </si>
  <si>
    <t>Mínimo por variedad (hard constraint proveedor)</t>
  </si>
  <si>
    <t>Servicio (% adicional del proveedor)</t>
  </si>
  <si>
    <t>Notas / reglas del proveedor</t>
  </si>
  <si>
    <t>- 10 bocas mínimo por persona
- Selección mínima de 50 bocas por variedad
- Máximo de 10 variedades (entre saladas, dulces, calientes o frías)
- Agregar 10% de servicio</t>
  </si>
  <si>
    <t>Base del menú final recomendado</t>
  </si>
  <si>
    <t>- Día 1: 8 saladas distintas + 2 dulces
- Día 2: 8 saladas distintas + 2 dulces
- 0 repeticiones entre días
- Precios base cargados desde el menú PDF compartido de Delibanquetes</t>
  </si>
  <si>
    <t>Curación de menú y asignación por día</t>
  </si>
  <si>
    <t>Boca / Variedad</t>
  </si>
  <si>
    <t>Sabor</t>
  </si>
  <si>
    <t>Tipo</t>
  </si>
  <si>
    <t>Precio unitario</t>
  </si>
  <si>
    <t>Notas</t>
  </si>
  <si>
    <t>Día 1 - porciones/invitado</t>
  </si>
  <si>
    <t>Día 2 - porciones/invitado</t>
  </si>
  <si>
    <t>Chequeo no duplicar</t>
  </si>
  <si>
    <t>Brocheta caprese con pesto</t>
  </si>
  <si>
    <t>Salado</t>
  </si>
  <si>
    <t>I</t>
  </si>
  <si>
    <t>Bolitas de papa rellena de queso</t>
  </si>
  <si>
    <t>Hongos al ajillo</t>
  </si>
  <si>
    <t>Mini quiché de espinaca y queso</t>
  </si>
  <si>
    <t>Crostini de melocotones asados y queso roquefort</t>
  </si>
  <si>
    <t>II</t>
  </si>
  <si>
    <t>Crostini de cebollas caramelizadas en maple con peras y queso brie</t>
  </si>
  <si>
    <t>Costilla de cerdo en salsa barbacoa</t>
  </si>
  <si>
    <t>Confirmar forma de servicio (porción / bocado).</t>
  </si>
  <si>
    <t>Bagel de salmón</t>
  </si>
  <si>
    <t>Gourmet</t>
  </si>
  <si>
    <t>Mini ceviche de pescado peruano</t>
  </si>
  <si>
    <t>Mini ceviche de camarón</t>
  </si>
  <si>
    <t>Brocheta de pollo al estilo Thai</t>
  </si>
  <si>
    <t>Camarones empanizados con salsa tártara</t>
  </si>
  <si>
    <t>Mini filet mignon</t>
  </si>
  <si>
    <t>Confirmar cómo se sirve (corte / salsa).</t>
  </si>
  <si>
    <t>Rollitos de pepino o de berenjenas</t>
  </si>
  <si>
    <t>Vegetarianos</t>
  </si>
  <si>
    <t>Vegetales temporizados o tomates cherry confitados</t>
  </si>
  <si>
    <t>Humus de colores</t>
  </si>
  <si>
    <t>Cardenal de fruta roja (preferible fresa)</t>
  </si>
  <si>
    <t>Dulce</t>
  </si>
  <si>
    <t>Fresas cubiertas con chocolate</t>
  </si>
  <si>
    <t>Mini tartas / mini alfajores</t>
  </si>
  <si>
    <t>(Reserva / reemplazo opcional).</t>
  </si>
  <si>
    <t>Cheesecake con salsa de fresa</t>
  </si>
  <si>
    <t>Pie de limón</t>
  </si>
  <si>
    <t>Checks (menú final)</t>
  </si>
  <si>
    <t>Día 1 - Saladas (debe = Inputs!B6)</t>
  </si>
  <si>
    <t>Día 2 - Saladas (debe = Inputs!B6)</t>
  </si>
  <si>
    <t>Día 1 - Dulces (debe = Inputs!B7)</t>
  </si>
  <si>
    <t>Día 2 - Dulces (debe = Inputs!B7)</t>
  </si>
  <si>
    <t>Día 1 - Variedades (debe &lt;= 10)</t>
  </si>
  <si>
    <t>Día 2 - Variedades (debe &lt;= 10)</t>
  </si>
  <si>
    <t>Duplicados entre días (debe = 0)</t>
  </si>
  <si>
    <t>Observación</t>
  </si>
  <si>
    <t>Con 16 saladas únicas ya es viable 8 + 8 sin repetir.</t>
  </si>
  <si>
    <t>Orden de compra y costos - comparativo 400 vs 500</t>
  </si>
  <si>
    <t>Inputs clave</t>
  </si>
  <si>
    <t>Checks de consistencia</t>
  </si>
  <si>
    <t>Invitados Esc. A</t>
  </si>
  <si>
    <t>Día 1 Saladas PPG</t>
  </si>
  <si>
    <t>Objetivo</t>
  </si>
  <si>
    <t>Estado</t>
  </si>
  <si>
    <t>Invitados Esc. B</t>
  </si>
  <si>
    <t>Día 1 Dulces PPG</t>
  </si>
  <si>
    <t>Mín/variedad</t>
  </si>
  <si>
    <t>Día 1 Variedades</t>
  </si>
  <si>
    <t>Máx</t>
  </si>
  <si>
    <t>Servicio</t>
  </si>
  <si>
    <t>Día 2 Saladas PPG</t>
  </si>
  <si>
    <t>Día 2 Dulces PPG</t>
  </si>
  <si>
    <t>Día 2 Variedades</t>
  </si>
  <si>
    <t>Duplicados</t>
  </si>
  <si>
    <t>D1 PPG</t>
  </si>
  <si>
    <t>D2 PPG</t>
  </si>
  <si>
    <t>Qty D1 (400)</t>
  </si>
  <si>
    <t>Qty D1 (500)</t>
  </si>
  <si>
    <t>Costo D1 (400)</t>
  </si>
  <si>
    <t>Costo D1 (500)</t>
  </si>
  <si>
    <t>Qty D2 (400)</t>
  </si>
  <si>
    <t>Qty D2 (500)</t>
  </si>
  <si>
    <t>Costo D2 (400)</t>
  </si>
  <si>
    <t>Costo D2 (500)</t>
  </si>
  <si>
    <t>Flag</t>
  </si>
  <si>
    <t>Mini Filet Mignon</t>
  </si>
  <si>
    <t>Resumen Día 1</t>
  </si>
  <si>
    <t>Subtotal (400)</t>
  </si>
  <si>
    <t>Subtotal (500)</t>
  </si>
  <si>
    <t>Servicio (400)</t>
  </si>
  <si>
    <t>Servicio (500)</t>
  </si>
  <si>
    <t>Total (400)</t>
  </si>
  <si>
    <t>Total (500)</t>
  </si>
  <si>
    <t>Costo pp (400)</t>
  </si>
  <si>
    <t>Costo pp (500)</t>
  </si>
  <si>
    <t>Resumen Día 2</t>
  </si>
  <si>
    <t>Total 2 días (Día 1 + Día 2)</t>
  </si>
  <si>
    <t>Costo pp total (400)</t>
  </si>
  <si>
    <t>Costo pp total (500)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</si>
</sst>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\$#,##0.00"/>
  </numFmts>
  <fonts count="7">
    <font>
      <sz val="11.0"/>
      <color theme="1"/>
      <name val="Calibri"/>
      <scheme val="minor"/>
    </font>
    <font>
      <b/>
      <sz val="13.0"/>
      <color theme="1"/>
      <name val="Cambria"/>
    </font>
    <font/>
    <font>
      <b/>
      <sz val="11.0"/>
      <color theme="1"/>
      <name val="Cambria"/>
    </font>
    <font>
      <sz val="11.0"/>
      <color theme="1"/>
      <name val="Cambria"/>
    </font>
    <font>
      <sz val="11.0"/>
      <color theme="1"/>
      <name val="Calibri"/>
    </font>
    <font>
      <i/>
      <sz val="10.0"/>
      <color theme="1"/>
      <name val="Cambria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E4DFEC"/>
        <bgColor rgb="FFE4DFEC"/>
      </patternFill>
    </fill>
    <fill>
      <patternFill patternType="solid">
        <fgColor rgb="FFD9EAF7"/>
        <bgColor rgb="FFD9EAF7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 style="thin">
        <color rgb="FFB7B7B7"/>
      </top>
      <bottom/>
    </border>
    <border>
      <top style="medium">
        <color rgb="FF7F7F7F"/>
      </top>
    </border>
    <border>
      <left/>
      <right/>
      <top style="medium">
        <color rgb="FF7F7F7F"/>
      </top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bottom" wrapText="0"/>
    </xf>
    <xf borderId="4" fillId="3" fontId="4" numFmtId="164" xfId="0" applyAlignment="1" applyBorder="1" applyFont="1" applyNumberFormat="1">
      <alignment horizontal="center" shrinkToFit="0" vertical="bottom" wrapText="0"/>
    </xf>
    <xf borderId="4" fillId="4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4" fillId="5" fontId="3" numFmtId="0" xfId="0" applyAlignment="1" applyBorder="1" applyFill="1" applyFont="1">
      <alignment shrinkToFit="0" vertical="bottom" wrapText="0"/>
    </xf>
    <xf borderId="5" fillId="6" fontId="3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5" numFmtId="165" xfId="0" applyAlignment="1" applyFont="1" applyNumberFormat="1">
      <alignment shrinkToFit="0" vertical="top" wrapText="0"/>
    </xf>
    <xf borderId="4" fillId="3" fontId="4" numFmtId="0" xfId="0" applyAlignment="1" applyBorder="1" applyFont="1">
      <alignment shrinkToFit="0" vertical="top" wrapText="0"/>
    </xf>
    <xf borderId="4" fillId="7" fontId="5" numFmtId="0" xfId="0" applyAlignment="1" applyBorder="1" applyFill="1" applyFont="1">
      <alignment horizontal="center" shrinkToFit="0" vertical="bottom" wrapText="0"/>
    </xf>
    <xf borderId="4" fillId="8" fontId="3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top" wrapText="1"/>
    </xf>
    <xf borderId="6" fillId="0" fontId="3" numFmtId="0" xfId="0" applyAlignment="1" applyBorder="1" applyFont="1">
      <alignment shrinkToFit="0" vertical="bottom" wrapText="0"/>
    </xf>
    <xf borderId="7" fillId="7" fontId="5" numFmtId="165" xfId="0" applyAlignment="1" applyBorder="1" applyFont="1" applyNumberFormat="1">
      <alignment horizontal="center" shrinkToFit="0" vertical="bottom" wrapText="0"/>
    </xf>
    <xf borderId="6" fillId="0" fontId="5" numFmtId="0" xfId="0" applyAlignment="1" applyBorder="1" applyFont="1">
      <alignment shrinkToFit="0" vertical="bottom" wrapText="0"/>
    </xf>
    <xf borderId="4" fillId="7" fontId="5" numFmtId="165" xfId="0" applyAlignment="1" applyBorder="1" applyFont="1" applyNumberFormat="1">
      <alignment horizontal="center" shrinkToFit="0" vertical="bottom" wrapText="0"/>
    </xf>
    <xf borderId="4" fillId="3" fontId="5" numFmtId="165" xfId="0" applyAlignment="1" applyBorder="1" applyFont="1" applyNumberFormat="1">
      <alignment horizontal="center" shrinkToFit="0" vertical="bottom" wrapText="0"/>
    </xf>
    <xf borderId="4" fillId="2" fontId="3" numFmtId="0" xfId="0" applyAlignment="1" applyBorder="1" applyFont="1">
      <alignment shrinkToFit="0" vertical="bottom" wrapText="0"/>
    </xf>
    <xf borderId="4" fillId="2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>
        <sz val="11.0"/>
        <color rgb="FF000000"/>
        <name val="Calibri"/>
      </font>
      <fill>
        <patternFill patternType="solid">
          <fgColor rgb="FFFCE4D6"/>
          <bgColor rgb="FFFCE4D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16.0"/>
    <col customWidth="1" min="3" max="5" width="4.0"/>
    <col customWidth="1" min="6" max="26" width="8.71"/>
  </cols>
  <sheetData>
    <row r="1" ht="24.0" customHeight="1">
      <c r="A1" s="1" t="s">
        <v>0</v>
      </c>
      <c r="B1" s="2"/>
      <c r="C1" s="2"/>
      <c r="D1" s="2"/>
      <c r="E1" s="3"/>
    </row>
    <row r="2" ht="12.75" customHeight="1"/>
    <row r="3" ht="12.75" customHeight="1">
      <c r="A3" s="4" t="s">
        <v>1</v>
      </c>
      <c r="B3" s="5">
        <v>400.0</v>
      </c>
    </row>
    <row r="4" ht="12.75" customHeight="1">
      <c r="A4" s="4" t="s">
        <v>2</v>
      </c>
      <c r="B4" s="5">
        <v>500.0</v>
      </c>
    </row>
    <row r="5" ht="12.75" customHeight="1"/>
    <row r="6" ht="12.75" customHeight="1">
      <c r="A6" s="4" t="s">
        <v>3</v>
      </c>
      <c r="B6" s="5">
        <v>8.0</v>
      </c>
    </row>
    <row r="7" ht="12.75" customHeight="1">
      <c r="A7" s="4" t="s">
        <v>4</v>
      </c>
      <c r="B7" s="5">
        <v>2.0</v>
      </c>
    </row>
    <row r="8" ht="12.75" customHeight="1">
      <c r="A8" s="4" t="s">
        <v>5</v>
      </c>
      <c r="B8" s="5">
        <v>50.0</v>
      </c>
    </row>
    <row r="9" ht="12.75" customHeight="1">
      <c r="A9" s="4" t="s">
        <v>6</v>
      </c>
      <c r="B9" s="6">
        <v>0.1</v>
      </c>
    </row>
    <row r="10" ht="12.75" customHeight="1"/>
    <row r="11" ht="12.75" customHeight="1">
      <c r="A11" s="7" t="s">
        <v>7</v>
      </c>
    </row>
    <row r="12" ht="72.0" customHeight="1">
      <c r="A12" s="8" t="s">
        <v>8</v>
      </c>
    </row>
    <row r="13" ht="12.75" customHeight="1"/>
    <row r="14" ht="12.75" customHeight="1">
      <c r="A14" s="9" t="s">
        <v>9</v>
      </c>
    </row>
    <row r="15" ht="72.0" customHeight="1">
      <c r="A15" s="8" t="s">
        <v>10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12.0"/>
    <col customWidth="1" min="3" max="3" width="16.0"/>
    <col customWidth="1" min="4" max="4" width="14.0"/>
    <col customWidth="1" min="5" max="5" width="36.0"/>
    <col customWidth="1" min="6" max="7" width="20.0"/>
    <col customWidth="1" min="8" max="8" width="24.0"/>
    <col customWidth="1" min="9" max="26" width="8.71"/>
  </cols>
  <sheetData>
    <row r="1" ht="24.0" customHeight="1">
      <c r="A1" s="1" t="s">
        <v>11</v>
      </c>
      <c r="B1" s="2"/>
      <c r="C1" s="2"/>
      <c r="D1" s="2"/>
      <c r="E1" s="2"/>
      <c r="F1" s="2"/>
      <c r="G1" s="2"/>
      <c r="H1" s="3"/>
    </row>
    <row r="2" ht="12.75" customHeight="1">
      <c r="A2" s="10" t="s">
        <v>12</v>
      </c>
      <c r="B2" s="10" t="s">
        <v>13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19</v>
      </c>
    </row>
    <row r="3" ht="12.75" customHeight="1">
      <c r="A3" s="11" t="s">
        <v>20</v>
      </c>
      <c r="B3" s="12" t="s">
        <v>21</v>
      </c>
      <c r="C3" s="12" t="s">
        <v>22</v>
      </c>
      <c r="D3" s="13">
        <v>1.4</v>
      </c>
      <c r="E3" s="11"/>
      <c r="F3" s="14">
        <v>1.0</v>
      </c>
      <c r="G3" s="14">
        <v>0.0</v>
      </c>
      <c r="H3" s="8" t="str">
        <f t="shared" ref="H3:H23" si="1">IF(AND(F3&gt;0,G3&gt;0),"ERROR: en ambos días","")</f>
        <v/>
      </c>
    </row>
    <row r="4" ht="12.75" customHeight="1">
      <c r="A4" s="11" t="s">
        <v>23</v>
      </c>
      <c r="B4" s="12" t="s">
        <v>21</v>
      </c>
      <c r="C4" s="12" t="s">
        <v>22</v>
      </c>
      <c r="D4" s="13">
        <v>1.4</v>
      </c>
      <c r="E4" s="11"/>
      <c r="F4" s="14">
        <v>1.0</v>
      </c>
      <c r="G4" s="14">
        <v>0.0</v>
      </c>
      <c r="H4" s="8" t="str">
        <f t="shared" si="1"/>
        <v/>
      </c>
    </row>
    <row r="5" ht="12.75" customHeight="1">
      <c r="A5" s="11" t="s">
        <v>24</v>
      </c>
      <c r="B5" s="12" t="s">
        <v>21</v>
      </c>
      <c r="C5" s="12" t="s">
        <v>22</v>
      </c>
      <c r="D5" s="13">
        <v>1.4</v>
      </c>
      <c r="E5" s="11"/>
      <c r="F5" s="14">
        <v>1.0</v>
      </c>
      <c r="G5" s="14">
        <v>0.0</v>
      </c>
      <c r="H5" s="8" t="str">
        <f t="shared" si="1"/>
        <v/>
      </c>
    </row>
    <row r="6" ht="12.75" customHeight="1">
      <c r="A6" s="11" t="s">
        <v>25</v>
      </c>
      <c r="B6" s="12" t="s">
        <v>21</v>
      </c>
      <c r="C6" s="12" t="s">
        <v>22</v>
      </c>
      <c r="D6" s="13">
        <v>1.4</v>
      </c>
      <c r="E6" s="11"/>
      <c r="F6" s="14">
        <v>1.0</v>
      </c>
      <c r="G6" s="14">
        <v>0.0</v>
      </c>
      <c r="H6" s="8" t="str">
        <f t="shared" si="1"/>
        <v/>
      </c>
    </row>
    <row r="7" ht="12.75" customHeight="1">
      <c r="A7" s="11" t="s">
        <v>26</v>
      </c>
      <c r="B7" s="12" t="s">
        <v>21</v>
      </c>
      <c r="C7" s="12" t="s">
        <v>27</v>
      </c>
      <c r="D7" s="13">
        <v>1.7</v>
      </c>
      <c r="E7" s="11"/>
      <c r="F7" s="14">
        <v>1.0</v>
      </c>
      <c r="G7" s="14">
        <v>0.0</v>
      </c>
      <c r="H7" s="8" t="str">
        <f t="shared" si="1"/>
        <v/>
      </c>
    </row>
    <row r="8" ht="12.75" customHeight="1">
      <c r="A8" s="11" t="s">
        <v>28</v>
      </c>
      <c r="B8" s="12" t="s">
        <v>21</v>
      </c>
      <c r="C8" s="12" t="s">
        <v>27</v>
      </c>
      <c r="D8" s="13">
        <v>1.7</v>
      </c>
      <c r="E8" s="11"/>
      <c r="F8" s="14">
        <v>1.0</v>
      </c>
      <c r="G8" s="14">
        <v>0.0</v>
      </c>
      <c r="H8" s="8" t="str">
        <f t="shared" si="1"/>
        <v/>
      </c>
    </row>
    <row r="9" ht="12.75" customHeight="1">
      <c r="A9" s="11" t="s">
        <v>29</v>
      </c>
      <c r="B9" s="12" t="s">
        <v>21</v>
      </c>
      <c r="C9" s="12" t="s">
        <v>27</v>
      </c>
      <c r="D9" s="13">
        <v>1.7</v>
      </c>
      <c r="E9" s="11" t="s">
        <v>30</v>
      </c>
      <c r="F9" s="14">
        <v>1.0</v>
      </c>
      <c r="G9" s="14">
        <v>0.0</v>
      </c>
      <c r="H9" s="8" t="str">
        <f t="shared" si="1"/>
        <v/>
      </c>
    </row>
    <row r="10" ht="12.75" customHeight="1">
      <c r="A10" s="11" t="s">
        <v>31</v>
      </c>
      <c r="B10" s="12" t="s">
        <v>21</v>
      </c>
      <c r="C10" s="12" t="s">
        <v>32</v>
      </c>
      <c r="D10" s="13">
        <v>2.0</v>
      </c>
      <c r="E10" s="11"/>
      <c r="F10" s="14">
        <v>0.0</v>
      </c>
      <c r="G10" s="14">
        <v>1.0</v>
      </c>
      <c r="H10" s="8" t="str">
        <f t="shared" si="1"/>
        <v/>
      </c>
    </row>
    <row r="11" ht="12.75" customHeight="1">
      <c r="A11" s="11" t="s">
        <v>33</v>
      </c>
      <c r="B11" s="12" t="s">
        <v>21</v>
      </c>
      <c r="C11" s="12" t="s">
        <v>32</v>
      </c>
      <c r="D11" s="13">
        <v>2.0</v>
      </c>
      <c r="E11" s="11"/>
      <c r="F11" s="14">
        <v>0.0</v>
      </c>
      <c r="G11" s="14">
        <v>1.0</v>
      </c>
      <c r="H11" s="8" t="str">
        <f t="shared" si="1"/>
        <v/>
      </c>
    </row>
    <row r="12" ht="12.75" customHeight="1">
      <c r="A12" s="11" t="s">
        <v>34</v>
      </c>
      <c r="B12" s="12" t="s">
        <v>21</v>
      </c>
      <c r="C12" s="12" t="s">
        <v>32</v>
      </c>
      <c r="D12" s="13">
        <v>2.0</v>
      </c>
      <c r="E12" s="11"/>
      <c r="F12" s="14">
        <v>0.0</v>
      </c>
      <c r="G12" s="14">
        <v>1.0</v>
      </c>
      <c r="H12" s="8" t="str">
        <f t="shared" si="1"/>
        <v/>
      </c>
    </row>
    <row r="13" ht="12.75" customHeight="1">
      <c r="A13" s="11" t="s">
        <v>35</v>
      </c>
      <c r="B13" s="12" t="s">
        <v>21</v>
      </c>
      <c r="C13" s="12" t="s">
        <v>32</v>
      </c>
      <c r="D13" s="13">
        <v>2.0</v>
      </c>
      <c r="E13" s="11"/>
      <c r="F13" s="14">
        <v>1.0</v>
      </c>
      <c r="G13" s="14">
        <v>0.0</v>
      </c>
      <c r="H13" s="8" t="str">
        <f t="shared" si="1"/>
        <v/>
      </c>
    </row>
    <row r="14" ht="12.75" customHeight="1">
      <c r="A14" s="11" t="s">
        <v>36</v>
      </c>
      <c r="B14" s="12" t="s">
        <v>21</v>
      </c>
      <c r="C14" s="12" t="s">
        <v>32</v>
      </c>
      <c r="D14" s="13">
        <v>2.0</v>
      </c>
      <c r="E14" s="11"/>
      <c r="F14" s="14">
        <v>0.0</v>
      </c>
      <c r="G14" s="14">
        <v>1.0</v>
      </c>
      <c r="H14" s="8" t="str">
        <f t="shared" si="1"/>
        <v/>
      </c>
    </row>
    <row r="15" ht="12.75" customHeight="1">
      <c r="A15" s="11" t="s">
        <v>37</v>
      </c>
      <c r="B15" s="12" t="s">
        <v>21</v>
      </c>
      <c r="C15" s="12" t="s">
        <v>32</v>
      </c>
      <c r="D15" s="13">
        <v>2.0</v>
      </c>
      <c r="E15" s="11" t="s">
        <v>38</v>
      </c>
      <c r="F15" s="14">
        <v>0.0</v>
      </c>
      <c r="G15" s="14">
        <v>1.0</v>
      </c>
      <c r="H15" s="8" t="str">
        <f t="shared" si="1"/>
        <v/>
      </c>
    </row>
    <row r="16" ht="12.75" customHeight="1">
      <c r="A16" s="11" t="s">
        <v>39</v>
      </c>
      <c r="B16" s="12" t="s">
        <v>21</v>
      </c>
      <c r="C16" s="12" t="s">
        <v>40</v>
      </c>
      <c r="D16" s="13">
        <v>2.25</v>
      </c>
      <c r="E16" s="11"/>
      <c r="F16" s="14">
        <v>0.0</v>
      </c>
      <c r="G16" s="14">
        <v>1.0</v>
      </c>
      <c r="H16" s="8" t="str">
        <f t="shared" si="1"/>
        <v/>
      </c>
    </row>
    <row r="17" ht="12.75" customHeight="1">
      <c r="A17" s="11" t="s">
        <v>41</v>
      </c>
      <c r="B17" s="12" t="s">
        <v>21</v>
      </c>
      <c r="C17" s="12" t="s">
        <v>40</v>
      </c>
      <c r="D17" s="13">
        <v>2.25</v>
      </c>
      <c r="E17" s="11"/>
      <c r="F17" s="14">
        <v>0.0</v>
      </c>
      <c r="G17" s="14">
        <v>1.0</v>
      </c>
      <c r="H17" s="8" t="str">
        <f t="shared" si="1"/>
        <v/>
      </c>
    </row>
    <row r="18" ht="12.75" customHeight="1">
      <c r="A18" s="11" t="s">
        <v>42</v>
      </c>
      <c r="B18" s="12" t="s">
        <v>21</v>
      </c>
      <c r="C18" s="12" t="s">
        <v>40</v>
      </c>
      <c r="D18" s="13">
        <v>2.25</v>
      </c>
      <c r="E18" s="11"/>
      <c r="F18" s="14">
        <v>0.0</v>
      </c>
      <c r="G18" s="14">
        <v>1.0</v>
      </c>
      <c r="H18" s="8" t="str">
        <f t="shared" si="1"/>
        <v/>
      </c>
    </row>
    <row r="19" ht="12.75" customHeight="1">
      <c r="A19" s="11" t="s">
        <v>43</v>
      </c>
      <c r="B19" s="12" t="s">
        <v>44</v>
      </c>
      <c r="C19" s="12" t="s">
        <v>44</v>
      </c>
      <c r="D19" s="13">
        <v>1.4</v>
      </c>
      <c r="E19" s="11"/>
      <c r="F19" s="14">
        <v>1.0</v>
      </c>
      <c r="G19" s="14">
        <v>0.0</v>
      </c>
      <c r="H19" s="8" t="str">
        <f t="shared" si="1"/>
        <v/>
      </c>
    </row>
    <row r="20" ht="12.75" customHeight="1">
      <c r="A20" s="11" t="s">
        <v>45</v>
      </c>
      <c r="B20" s="12" t="s">
        <v>44</v>
      </c>
      <c r="C20" s="12" t="s">
        <v>44</v>
      </c>
      <c r="D20" s="13">
        <v>1.4</v>
      </c>
      <c r="E20" s="11"/>
      <c r="F20" s="14">
        <v>0.0</v>
      </c>
      <c r="G20" s="14">
        <v>1.0</v>
      </c>
      <c r="H20" s="8" t="str">
        <f t="shared" si="1"/>
        <v/>
      </c>
    </row>
    <row r="21" ht="12.75" customHeight="1">
      <c r="A21" s="11" t="s">
        <v>46</v>
      </c>
      <c r="B21" s="12" t="s">
        <v>44</v>
      </c>
      <c r="C21" s="12" t="s">
        <v>44</v>
      </c>
      <c r="D21" s="13">
        <v>1.4</v>
      </c>
      <c r="E21" s="11" t="s">
        <v>47</v>
      </c>
      <c r="F21" s="14">
        <v>0.0</v>
      </c>
      <c r="G21" s="14">
        <v>0.0</v>
      </c>
      <c r="H21" s="8" t="str">
        <f t="shared" si="1"/>
        <v/>
      </c>
    </row>
    <row r="22" ht="12.75" customHeight="1">
      <c r="A22" s="11" t="s">
        <v>48</v>
      </c>
      <c r="B22" s="12" t="s">
        <v>44</v>
      </c>
      <c r="C22" s="12" t="s">
        <v>44</v>
      </c>
      <c r="D22" s="13">
        <v>1.4</v>
      </c>
      <c r="E22" s="11"/>
      <c r="F22" s="14">
        <v>0.0</v>
      </c>
      <c r="G22" s="14">
        <v>1.0</v>
      </c>
      <c r="H22" s="8" t="str">
        <f t="shared" si="1"/>
        <v/>
      </c>
    </row>
    <row r="23" ht="12.75" customHeight="1">
      <c r="A23" s="11" t="s">
        <v>49</v>
      </c>
      <c r="B23" s="12" t="s">
        <v>44</v>
      </c>
      <c r="C23" s="12" t="s">
        <v>44</v>
      </c>
      <c r="D23" s="13">
        <v>1.4</v>
      </c>
      <c r="E23" s="11"/>
      <c r="F23" s="14">
        <v>1.0</v>
      </c>
      <c r="G23" s="14">
        <v>0.0</v>
      </c>
      <c r="H23" s="8" t="str">
        <f t="shared" si="1"/>
        <v/>
      </c>
    </row>
    <row r="24" ht="12.75" customHeight="1"/>
    <row r="25" ht="12.75" customHeight="1">
      <c r="A25" s="7" t="s">
        <v>50</v>
      </c>
    </row>
    <row r="26" ht="12.75" customHeight="1">
      <c r="A26" s="4" t="s">
        <v>51</v>
      </c>
      <c r="B26" s="15">
        <f>SUMPRODUCT((B3:B23="Salado")*(F3:F23))</f>
        <v>8</v>
      </c>
      <c r="C26" s="16" t="str">
        <f>IF(ABS(B26-Inputs!$B$6)&lt;0.001,"OK","REVISAR")</f>
        <v>OK</v>
      </c>
      <c r="E26" s="4" t="s">
        <v>52</v>
      </c>
      <c r="F26" s="15">
        <f>SUMPRODUCT((B3:B23="Salado")*(G3:G23))</f>
        <v>8</v>
      </c>
      <c r="G26" s="16" t="str">
        <f>IF(ABS(F26-Inputs!$B$6)&lt;0.001,"OK","REVISAR")</f>
        <v>OK</v>
      </c>
    </row>
    <row r="27" ht="12.75" customHeight="1">
      <c r="A27" s="4" t="s">
        <v>53</v>
      </c>
      <c r="B27" s="15">
        <f>SUMPRODUCT((B3:B23="Dulce")*(F3:F23))</f>
        <v>2</v>
      </c>
      <c r="C27" s="16" t="str">
        <f>IF(ABS(B27-Inputs!$B$7)&lt;0.001,"OK","REVISAR")</f>
        <v>OK</v>
      </c>
      <c r="E27" s="4" t="s">
        <v>54</v>
      </c>
      <c r="F27" s="15">
        <f>SUMPRODUCT((B3:B23="Dulce")*(G3:G23))</f>
        <v>2</v>
      </c>
      <c r="G27" s="16" t="str">
        <f>IF(ABS(F27-Inputs!$B$7)&lt;0.001,"OK","REVISAR")</f>
        <v>OK</v>
      </c>
    </row>
    <row r="28" ht="12.75" customHeight="1">
      <c r="A28" s="4" t="s">
        <v>55</v>
      </c>
      <c r="B28" s="15">
        <f>COUNTIF(F3:F23,"&gt;0")</f>
        <v>10</v>
      </c>
      <c r="C28" s="16" t="str">
        <f>IF(B28&lt;=10,"OK","REVISAR")</f>
        <v>OK</v>
      </c>
      <c r="E28" s="4" t="s">
        <v>56</v>
      </c>
      <c r="F28" s="15">
        <f>COUNTIF(G3:G23,"&gt;0")</f>
        <v>10</v>
      </c>
      <c r="G28" s="16" t="str">
        <f>IF(F28&lt;=10,"OK","REVISAR")</f>
        <v>OK</v>
      </c>
    </row>
    <row r="29" ht="12.75" customHeight="1">
      <c r="A29" s="4" t="s">
        <v>57</v>
      </c>
      <c r="B29" s="15">
        <f>COUNTIF(H3:H23,"ERROR*")</f>
        <v>0</v>
      </c>
      <c r="C29" s="16" t="str">
        <f>IF(B29=0,"OK","REVISAR")</f>
        <v>OK</v>
      </c>
      <c r="E29" s="4" t="s">
        <v>58</v>
      </c>
      <c r="F29" s="17" t="s">
        <v>59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H1"/>
  </mergeCells>
  <conditionalFormatting sqref="H3:H23">
    <cfRule type="expression" dxfId="0" priority="1">
      <formula>LEN(H3)&gt;0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.0"/>
    <col customWidth="1" min="3" max="3" width="14.0"/>
    <col customWidth="1" min="4" max="4" width="20.14"/>
    <col customWidth="1" min="5" max="5" width="36.0"/>
    <col customWidth="1" hidden="1" min="6" max="6" width="10.0"/>
    <col customWidth="1" min="7" max="7" width="10.0"/>
    <col customWidth="1" hidden="1" min="8" max="8" width="18.0"/>
    <col customWidth="1" hidden="1" min="9" max="9" width="10.0"/>
    <col customWidth="1" hidden="1" min="10" max="10" width="12.0"/>
    <col customWidth="1" hidden="1" min="11" max="11" width="10.0"/>
    <col customWidth="1" min="12" max="13" width="10.0"/>
    <col customWidth="1" min="14" max="14" width="12.0"/>
    <col customWidth="1" min="15" max="15" width="10.0"/>
    <col customWidth="1" min="16" max="16" width="18.0"/>
    <col customWidth="1" min="17" max="26" width="8.71"/>
  </cols>
  <sheetData>
    <row r="1" ht="24.0" customHeight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2.75" customHeight="1"/>
    <row r="3" ht="12.75" customHeight="1">
      <c r="A3" s="7" t="s">
        <v>61</v>
      </c>
      <c r="H3" s="7" t="s">
        <v>62</v>
      </c>
    </row>
    <row r="4" ht="12.75" customHeight="1">
      <c r="A4" s="4" t="s">
        <v>63</v>
      </c>
      <c r="B4" s="5">
        <f>Inputs!B3</f>
        <v>400</v>
      </c>
      <c r="H4" s="4" t="s">
        <v>64</v>
      </c>
      <c r="I4" s="15">
        <f>Menu_Setup!B26</f>
        <v>8</v>
      </c>
      <c r="K4" s="4" t="s">
        <v>65</v>
      </c>
      <c r="L4" s="15">
        <f>Inputs!B6</f>
        <v>8</v>
      </c>
      <c r="N4" s="4" t="s">
        <v>66</v>
      </c>
      <c r="O4" s="16" t="str">
        <f>Menu_Setup!C26</f>
        <v>OK</v>
      </c>
    </row>
    <row r="5" ht="12.75" customHeight="1">
      <c r="A5" s="4" t="s">
        <v>67</v>
      </c>
      <c r="B5" s="5">
        <f>Inputs!B4</f>
        <v>500</v>
      </c>
      <c r="H5" s="4" t="s">
        <v>68</v>
      </c>
      <c r="I5" s="15">
        <f>Menu_Setup!B27</f>
        <v>2</v>
      </c>
      <c r="K5" s="4" t="s">
        <v>65</v>
      </c>
      <c r="L5" s="15">
        <f>Inputs!B7</f>
        <v>2</v>
      </c>
      <c r="N5" s="4" t="s">
        <v>66</v>
      </c>
      <c r="O5" s="16" t="str">
        <f>Menu_Setup!C27</f>
        <v>OK</v>
      </c>
    </row>
    <row r="6" ht="12.75" customHeight="1">
      <c r="A6" s="4" t="s">
        <v>69</v>
      </c>
      <c r="B6" s="5">
        <f>Inputs!B8</f>
        <v>50</v>
      </c>
      <c r="H6" s="4" t="s">
        <v>70</v>
      </c>
      <c r="I6" s="15">
        <f>Menu_Setup!B28</f>
        <v>10</v>
      </c>
      <c r="K6" s="4" t="s">
        <v>71</v>
      </c>
      <c r="L6" s="15">
        <v>10.0</v>
      </c>
      <c r="N6" s="4" t="s">
        <v>66</v>
      </c>
      <c r="O6" s="16" t="str">
        <f>Menu_Setup!C28</f>
        <v>OK</v>
      </c>
    </row>
    <row r="7" ht="12.75" customHeight="1">
      <c r="A7" s="4" t="s">
        <v>72</v>
      </c>
      <c r="B7" s="6">
        <f>Inputs!B9</f>
        <v>0.1</v>
      </c>
      <c r="H7" s="4" t="s">
        <v>73</v>
      </c>
      <c r="I7" s="15">
        <f>Menu_Setup!F26</f>
        <v>8</v>
      </c>
      <c r="K7" s="4" t="s">
        <v>65</v>
      </c>
      <c r="L7" s="15">
        <f>Inputs!B6</f>
        <v>8</v>
      </c>
      <c r="N7" s="4" t="s">
        <v>66</v>
      </c>
      <c r="O7" s="16" t="str">
        <f>Menu_Setup!G26</f>
        <v>OK</v>
      </c>
    </row>
    <row r="8" ht="12.75" customHeight="1">
      <c r="H8" s="4" t="s">
        <v>74</v>
      </c>
      <c r="I8" s="15">
        <f>Menu_Setup!F27</f>
        <v>2</v>
      </c>
      <c r="K8" s="4" t="s">
        <v>65</v>
      </c>
      <c r="L8" s="15">
        <f>Inputs!B7</f>
        <v>2</v>
      </c>
      <c r="N8" s="4" t="s">
        <v>66</v>
      </c>
      <c r="O8" s="16" t="str">
        <f>Menu_Setup!G27</f>
        <v>OK</v>
      </c>
    </row>
    <row r="9" ht="12.75" customHeight="1">
      <c r="H9" s="4" t="s">
        <v>75</v>
      </c>
      <c r="I9" s="15">
        <f>Menu_Setup!F28</f>
        <v>10</v>
      </c>
      <c r="K9" s="4" t="s">
        <v>71</v>
      </c>
      <c r="L9" s="15">
        <v>10.0</v>
      </c>
      <c r="N9" s="4" t="s">
        <v>66</v>
      </c>
      <c r="O9" s="16" t="str">
        <f>Menu_Setup!G28</f>
        <v>OK</v>
      </c>
    </row>
    <row r="10" ht="12.75" customHeight="1">
      <c r="H10" s="4" t="s">
        <v>76</v>
      </c>
      <c r="I10" s="15">
        <f>Menu_Setup!B29</f>
        <v>0</v>
      </c>
      <c r="K10" s="4" t="s">
        <v>65</v>
      </c>
      <c r="L10" s="15">
        <v>0.0</v>
      </c>
      <c r="N10" s="4" t="s">
        <v>66</v>
      </c>
      <c r="O10" s="16" t="str">
        <f>Menu_Setup!C29</f>
        <v>OK</v>
      </c>
    </row>
    <row r="11" ht="12.75" customHeight="1"/>
    <row r="12" ht="12.75" customHeight="1">
      <c r="A12" s="10" t="s">
        <v>12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77</v>
      </c>
      <c r="G12" s="10" t="s">
        <v>78</v>
      </c>
      <c r="H12" s="10" t="s">
        <v>79</v>
      </c>
      <c r="I12" s="10" t="s">
        <v>80</v>
      </c>
      <c r="J12" s="10" t="s">
        <v>81</v>
      </c>
      <c r="K12" s="10" t="s">
        <v>82</v>
      </c>
      <c r="L12" s="10" t="s">
        <v>83</v>
      </c>
      <c r="M12" s="10" t="s">
        <v>84</v>
      </c>
      <c r="N12" s="10" t="s">
        <v>85</v>
      </c>
      <c r="O12" s="10" t="s">
        <v>86</v>
      </c>
      <c r="P12" s="10" t="s">
        <v>87</v>
      </c>
    </row>
    <row r="13" ht="12.75" hidden="1" customHeight="1">
      <c r="A13" s="11" t="str">
        <f>Menu_Setup!A3</f>
        <v>Brocheta caprese con pesto</v>
      </c>
      <c r="B13" s="12" t="str">
        <f>Menu_Setup!B3</f>
        <v>Salado</v>
      </c>
      <c r="C13" s="12" t="str">
        <f>Menu_Setup!C3</f>
        <v>I</v>
      </c>
      <c r="D13" s="13">
        <f>Menu_Setup!D3</f>
        <v>1.4</v>
      </c>
      <c r="E13" s="11" t="str">
        <f>IF(Menu_Setup!E3="","",Menu_Setup!E3)</f>
        <v/>
      </c>
      <c r="F13" s="12">
        <f>Menu_Setup!F3</f>
        <v>1</v>
      </c>
      <c r="G13" s="12">
        <f>Menu_Setup!G3</f>
        <v>0</v>
      </c>
      <c r="H13" s="12">
        <f>IF($F13&gt;0,MAX(Inputs!$B$8,ROUNDUP(Inputs!$B$3*$F13,0)),0)</f>
        <v>400</v>
      </c>
      <c r="I13" s="12">
        <f>IF($F13&gt;0,MAX(Inputs!$B$8,ROUNDUP(Inputs!$B$4*$F13,0)),0)</f>
        <v>500</v>
      </c>
      <c r="J13" s="13">
        <f t="shared" ref="J13:J33" si="1">$H13*$D13</f>
        <v>560</v>
      </c>
      <c r="K13" s="13">
        <f t="shared" ref="K13:K33" si="2">$I13*$D13</f>
        <v>700</v>
      </c>
      <c r="L13" s="12">
        <f>IF($G13&gt;0,MAX(Inputs!$B$8,ROUNDUP(Inputs!$B$3*$G13,0)),0)</f>
        <v>0</v>
      </c>
      <c r="M13" s="12">
        <f>IF($G13&gt;0,MAX(Inputs!$B$8,ROUNDUP(Inputs!$B$4*$G13,0)),0)</f>
        <v>0</v>
      </c>
      <c r="N13" s="13">
        <f t="shared" ref="N13:N33" si="3">$L13*$D13</f>
        <v>0</v>
      </c>
      <c r="O13" s="13">
        <f t="shared" ref="O13:O33" si="4">$M13*$D13</f>
        <v>0</v>
      </c>
      <c r="P13" s="11" t="str">
        <f>IF(Menu_Setup!H3="","",Menu_Setup!H3)</f>
        <v/>
      </c>
    </row>
    <row r="14" ht="12.75" hidden="1" customHeight="1">
      <c r="A14" s="11" t="str">
        <f>Menu_Setup!A4</f>
        <v>Bolitas de papa rellena de queso</v>
      </c>
      <c r="B14" s="12" t="str">
        <f>Menu_Setup!B4</f>
        <v>Salado</v>
      </c>
      <c r="C14" s="12" t="str">
        <f>Menu_Setup!C4</f>
        <v>I</v>
      </c>
      <c r="D14" s="13">
        <f>Menu_Setup!D4</f>
        <v>1.4</v>
      </c>
      <c r="E14" s="11" t="str">
        <f>IF(Menu_Setup!E4="","",Menu_Setup!E4)</f>
        <v/>
      </c>
      <c r="F14" s="12">
        <f>Menu_Setup!F4</f>
        <v>1</v>
      </c>
      <c r="G14" s="12">
        <f>Menu_Setup!G4</f>
        <v>0</v>
      </c>
      <c r="H14" s="12">
        <f>IF($F14&gt;0,MAX(Inputs!$B$8,ROUNDUP(Inputs!$B$3*$F14,0)),0)</f>
        <v>400</v>
      </c>
      <c r="I14" s="12">
        <f>IF($F14&gt;0,MAX(Inputs!$B$8,ROUNDUP(Inputs!$B$4*$F14,0)),0)</f>
        <v>500</v>
      </c>
      <c r="J14" s="13">
        <f t="shared" si="1"/>
        <v>560</v>
      </c>
      <c r="K14" s="13">
        <f t="shared" si="2"/>
        <v>700</v>
      </c>
      <c r="L14" s="12">
        <f>IF($G14&gt;0,MAX(Inputs!$B$8,ROUNDUP(Inputs!$B$3*$G14,0)),0)</f>
        <v>0</v>
      </c>
      <c r="M14" s="12">
        <f>IF($G14&gt;0,MAX(Inputs!$B$8,ROUNDUP(Inputs!$B$4*$G14,0)),0)</f>
        <v>0</v>
      </c>
      <c r="N14" s="13">
        <f t="shared" si="3"/>
        <v>0</v>
      </c>
      <c r="O14" s="13">
        <f t="shared" si="4"/>
        <v>0</v>
      </c>
      <c r="P14" s="11" t="str">
        <f>IF(Menu_Setup!H4="","",Menu_Setup!H4)</f>
        <v/>
      </c>
    </row>
    <row r="15" ht="12.75" hidden="1" customHeight="1">
      <c r="A15" s="11" t="str">
        <f>Menu_Setup!A5</f>
        <v>Hongos al ajillo</v>
      </c>
      <c r="B15" s="12" t="str">
        <f>Menu_Setup!B5</f>
        <v>Salado</v>
      </c>
      <c r="C15" s="12" t="str">
        <f>Menu_Setup!C5</f>
        <v>I</v>
      </c>
      <c r="D15" s="13">
        <f>Menu_Setup!D5</f>
        <v>1.4</v>
      </c>
      <c r="E15" s="11" t="str">
        <f>IF(Menu_Setup!E5="","",Menu_Setup!E5)</f>
        <v/>
      </c>
      <c r="F15" s="12">
        <f>Menu_Setup!F5</f>
        <v>1</v>
      </c>
      <c r="G15" s="12">
        <f>Menu_Setup!G5</f>
        <v>0</v>
      </c>
      <c r="H15" s="12">
        <f>IF($F15&gt;0,MAX(Inputs!$B$8,ROUNDUP(Inputs!$B$3*$F15,0)),0)</f>
        <v>400</v>
      </c>
      <c r="I15" s="12">
        <f>IF($F15&gt;0,MAX(Inputs!$B$8,ROUNDUP(Inputs!$B$4*$F15,0)),0)</f>
        <v>500</v>
      </c>
      <c r="J15" s="13">
        <f t="shared" si="1"/>
        <v>560</v>
      </c>
      <c r="K15" s="13">
        <f t="shared" si="2"/>
        <v>700</v>
      </c>
      <c r="L15" s="12">
        <f>IF($G15&gt;0,MAX(Inputs!$B$8,ROUNDUP(Inputs!$B$3*$G15,0)),0)</f>
        <v>0</v>
      </c>
      <c r="M15" s="12">
        <f>IF($G15&gt;0,MAX(Inputs!$B$8,ROUNDUP(Inputs!$B$4*$G15,0)),0)</f>
        <v>0</v>
      </c>
      <c r="N15" s="13">
        <f t="shared" si="3"/>
        <v>0</v>
      </c>
      <c r="O15" s="13">
        <f t="shared" si="4"/>
        <v>0</v>
      </c>
      <c r="P15" s="11" t="str">
        <f>IF(Menu_Setup!H5="","",Menu_Setup!H5)</f>
        <v/>
      </c>
    </row>
    <row r="16" ht="12.75" hidden="1" customHeight="1">
      <c r="A16" s="11" t="str">
        <f>Menu_Setup!A6</f>
        <v>Mini quiché de espinaca y queso</v>
      </c>
      <c r="B16" s="12" t="str">
        <f>Menu_Setup!B6</f>
        <v>Salado</v>
      </c>
      <c r="C16" s="12" t="str">
        <f>Menu_Setup!C6</f>
        <v>I</v>
      </c>
      <c r="D16" s="13">
        <f>Menu_Setup!D6</f>
        <v>1.4</v>
      </c>
      <c r="E16" s="11" t="str">
        <f>IF(Menu_Setup!E6="","",Menu_Setup!E6)</f>
        <v/>
      </c>
      <c r="F16" s="12">
        <f>Menu_Setup!F6</f>
        <v>1</v>
      </c>
      <c r="G16" s="12">
        <f>Menu_Setup!G6</f>
        <v>0</v>
      </c>
      <c r="H16" s="12">
        <f>IF($F16&gt;0,MAX(Inputs!$B$8,ROUNDUP(Inputs!$B$3*$F16,0)),0)</f>
        <v>400</v>
      </c>
      <c r="I16" s="12">
        <f>IF($F16&gt;0,MAX(Inputs!$B$8,ROUNDUP(Inputs!$B$4*$F16,0)),0)</f>
        <v>500</v>
      </c>
      <c r="J16" s="13">
        <f t="shared" si="1"/>
        <v>560</v>
      </c>
      <c r="K16" s="13">
        <f t="shared" si="2"/>
        <v>700</v>
      </c>
      <c r="L16" s="12">
        <f>IF($G16&gt;0,MAX(Inputs!$B$8,ROUNDUP(Inputs!$B$3*$G16,0)),0)</f>
        <v>0</v>
      </c>
      <c r="M16" s="12">
        <f>IF($G16&gt;0,MAX(Inputs!$B$8,ROUNDUP(Inputs!$B$4*$G16,0)),0)</f>
        <v>0</v>
      </c>
      <c r="N16" s="13">
        <f t="shared" si="3"/>
        <v>0</v>
      </c>
      <c r="O16" s="13">
        <f t="shared" si="4"/>
        <v>0</v>
      </c>
      <c r="P16" s="11" t="str">
        <f>IF(Menu_Setup!H6="","",Menu_Setup!H6)</f>
        <v/>
      </c>
    </row>
    <row r="17" ht="12.75" hidden="1" customHeight="1">
      <c r="A17" s="11" t="str">
        <f>Menu_Setup!A7</f>
        <v>Crostini de melocotones asados y queso roquefort</v>
      </c>
      <c r="B17" s="12" t="str">
        <f>Menu_Setup!B7</f>
        <v>Salado</v>
      </c>
      <c r="C17" s="12" t="str">
        <f>Menu_Setup!C7</f>
        <v>II</v>
      </c>
      <c r="D17" s="13">
        <f>Menu_Setup!D7</f>
        <v>1.7</v>
      </c>
      <c r="E17" s="11" t="str">
        <f>IF(Menu_Setup!E7="","",Menu_Setup!E7)</f>
        <v/>
      </c>
      <c r="F17" s="12">
        <f>Menu_Setup!F7</f>
        <v>1</v>
      </c>
      <c r="G17" s="12">
        <f>Menu_Setup!G7</f>
        <v>0</v>
      </c>
      <c r="H17" s="12">
        <f>IF($F17&gt;0,MAX(Inputs!$B$8,ROUNDUP(Inputs!$B$3*$F17,0)),0)</f>
        <v>400</v>
      </c>
      <c r="I17" s="12">
        <f>IF($F17&gt;0,MAX(Inputs!$B$8,ROUNDUP(Inputs!$B$4*$F17,0)),0)</f>
        <v>500</v>
      </c>
      <c r="J17" s="13">
        <f t="shared" si="1"/>
        <v>680</v>
      </c>
      <c r="K17" s="13">
        <f t="shared" si="2"/>
        <v>850</v>
      </c>
      <c r="L17" s="12">
        <f>IF($G17&gt;0,MAX(Inputs!$B$8,ROUNDUP(Inputs!$B$3*$G17,0)),0)</f>
        <v>0</v>
      </c>
      <c r="M17" s="12">
        <f>IF($G17&gt;0,MAX(Inputs!$B$8,ROUNDUP(Inputs!$B$4*$G17,0)),0)</f>
        <v>0</v>
      </c>
      <c r="N17" s="13">
        <f t="shared" si="3"/>
        <v>0</v>
      </c>
      <c r="O17" s="13">
        <f t="shared" si="4"/>
        <v>0</v>
      </c>
      <c r="P17" s="11" t="str">
        <f>IF(Menu_Setup!H7="","",Menu_Setup!H7)</f>
        <v/>
      </c>
    </row>
    <row r="18" ht="12.75" hidden="1" customHeight="1">
      <c r="A18" s="11" t="str">
        <f>Menu_Setup!A8</f>
        <v>Crostini de cebollas caramelizadas en maple con peras y queso brie</v>
      </c>
      <c r="B18" s="12" t="str">
        <f>Menu_Setup!B8</f>
        <v>Salado</v>
      </c>
      <c r="C18" s="12" t="str">
        <f>Menu_Setup!C8</f>
        <v>II</v>
      </c>
      <c r="D18" s="13">
        <f>Menu_Setup!D8</f>
        <v>1.7</v>
      </c>
      <c r="E18" s="11" t="str">
        <f>IF(Menu_Setup!E8="","",Menu_Setup!E8)</f>
        <v/>
      </c>
      <c r="F18" s="12">
        <f>Menu_Setup!F8</f>
        <v>1</v>
      </c>
      <c r="G18" s="12">
        <f>Menu_Setup!G8</f>
        <v>0</v>
      </c>
      <c r="H18" s="12">
        <f>IF($F18&gt;0,MAX(Inputs!$B$8,ROUNDUP(Inputs!$B$3*$F18,0)),0)</f>
        <v>400</v>
      </c>
      <c r="I18" s="12">
        <f>IF($F18&gt;0,MAX(Inputs!$B$8,ROUNDUP(Inputs!$B$4*$F18,0)),0)</f>
        <v>500</v>
      </c>
      <c r="J18" s="13">
        <f t="shared" si="1"/>
        <v>680</v>
      </c>
      <c r="K18" s="13">
        <f t="shared" si="2"/>
        <v>850</v>
      </c>
      <c r="L18" s="12">
        <f>IF($G18&gt;0,MAX(Inputs!$B$8,ROUNDUP(Inputs!$B$3*$G18,0)),0)</f>
        <v>0</v>
      </c>
      <c r="M18" s="12">
        <f>IF($G18&gt;0,MAX(Inputs!$B$8,ROUNDUP(Inputs!$B$4*$G18,0)),0)</f>
        <v>0</v>
      </c>
      <c r="N18" s="13">
        <f t="shared" si="3"/>
        <v>0</v>
      </c>
      <c r="O18" s="13">
        <f t="shared" si="4"/>
        <v>0</v>
      </c>
      <c r="P18" s="11" t="str">
        <f>IF(Menu_Setup!H8="","",Menu_Setup!H8)</f>
        <v/>
      </c>
    </row>
    <row r="19" ht="12.75" hidden="1" customHeight="1">
      <c r="A19" s="11" t="str">
        <f>Menu_Setup!A9</f>
        <v>Costilla de cerdo en salsa barbacoa</v>
      </c>
      <c r="B19" s="12" t="str">
        <f>Menu_Setup!B9</f>
        <v>Salado</v>
      </c>
      <c r="C19" s="12" t="str">
        <f>Menu_Setup!C9</f>
        <v>II</v>
      </c>
      <c r="D19" s="13">
        <f>Menu_Setup!D9</f>
        <v>1.7</v>
      </c>
      <c r="E19" s="11" t="str">
        <f>IF(Menu_Setup!E9="","",Menu_Setup!E9)</f>
        <v>Confirmar forma de servicio (porción / bocado).</v>
      </c>
      <c r="F19" s="12">
        <f>Menu_Setup!F9</f>
        <v>1</v>
      </c>
      <c r="G19" s="12">
        <f>Menu_Setup!G9</f>
        <v>0</v>
      </c>
      <c r="H19" s="12">
        <f>IF($F19&gt;0,MAX(Inputs!$B$8,ROUNDUP(Inputs!$B$3*$F19,0)),0)</f>
        <v>400</v>
      </c>
      <c r="I19" s="12">
        <f>IF($F19&gt;0,MAX(Inputs!$B$8,ROUNDUP(Inputs!$B$4*$F19,0)),0)</f>
        <v>500</v>
      </c>
      <c r="J19" s="13">
        <f t="shared" si="1"/>
        <v>680</v>
      </c>
      <c r="K19" s="13">
        <f t="shared" si="2"/>
        <v>850</v>
      </c>
      <c r="L19" s="12">
        <f>IF($G19&gt;0,MAX(Inputs!$B$8,ROUNDUP(Inputs!$B$3*$G19,0)),0)</f>
        <v>0</v>
      </c>
      <c r="M19" s="12">
        <f>IF($G19&gt;0,MAX(Inputs!$B$8,ROUNDUP(Inputs!$B$4*$G19,0)),0)</f>
        <v>0</v>
      </c>
      <c r="N19" s="13">
        <f t="shared" si="3"/>
        <v>0</v>
      </c>
      <c r="O19" s="13">
        <f t="shared" si="4"/>
        <v>0</v>
      </c>
      <c r="P19" s="11" t="str">
        <f>IF(Menu_Setup!H9="","",Menu_Setup!H9)</f>
        <v/>
      </c>
    </row>
    <row r="20" ht="12.75" customHeight="1">
      <c r="A20" s="11" t="str">
        <f>Menu_Setup!A10</f>
        <v>Bagel de salmón</v>
      </c>
      <c r="B20" s="12" t="str">
        <f>Menu_Setup!B10</f>
        <v>Salado</v>
      </c>
      <c r="C20" s="12" t="str">
        <f>Menu_Setup!C10</f>
        <v>Gourmet</v>
      </c>
      <c r="D20" s="13">
        <f>Menu_Setup!D10</f>
        <v>2</v>
      </c>
      <c r="E20" s="11" t="str">
        <f>IF(Menu_Setup!E10="","",Menu_Setup!E10)</f>
        <v/>
      </c>
      <c r="F20" s="12">
        <f>Menu_Setup!F10</f>
        <v>0</v>
      </c>
      <c r="G20" s="12">
        <f>Menu_Setup!G10</f>
        <v>1</v>
      </c>
      <c r="H20" s="12">
        <f>IF($F20&gt;0,MAX(Inputs!$B$8,ROUNDUP(Inputs!$B$3*$F20,0)),0)</f>
        <v>0</v>
      </c>
      <c r="I20" s="12">
        <f>IF($F20&gt;0,MAX(Inputs!$B$8,ROUNDUP(Inputs!$B$4*$F20,0)),0)</f>
        <v>0</v>
      </c>
      <c r="J20" s="13">
        <f t="shared" si="1"/>
        <v>0</v>
      </c>
      <c r="K20" s="13">
        <f t="shared" si="2"/>
        <v>0</v>
      </c>
      <c r="L20" s="12">
        <f>IF($G20&gt;0,MAX(Inputs!$B$8,ROUNDUP(Inputs!$B$3*$G20,0)),0)</f>
        <v>400</v>
      </c>
      <c r="M20" s="12">
        <f>IF($G20&gt;0,MAX(Inputs!$B$8,ROUNDUP(Inputs!$B$4*$G20,0)),0)</f>
        <v>500</v>
      </c>
      <c r="N20" s="13">
        <f t="shared" si="3"/>
        <v>800</v>
      </c>
      <c r="O20" s="13">
        <f t="shared" si="4"/>
        <v>1000</v>
      </c>
      <c r="P20" s="11" t="str">
        <f>IF(Menu_Setup!H10="","",Menu_Setup!H10)</f>
        <v/>
      </c>
    </row>
    <row r="21" ht="12.75" customHeight="1">
      <c r="A21" s="11" t="str">
        <f>Menu_Setup!A11</f>
        <v>Mini ceviche de pescado peruano</v>
      </c>
      <c r="B21" s="12" t="str">
        <f>Menu_Setup!B11</f>
        <v>Salado</v>
      </c>
      <c r="C21" s="12" t="str">
        <f>Menu_Setup!C11</f>
        <v>Gourmet</v>
      </c>
      <c r="D21" s="13">
        <f>Menu_Setup!D11</f>
        <v>2</v>
      </c>
      <c r="E21" s="11" t="str">
        <f>IF(Menu_Setup!E11="","",Menu_Setup!E11)</f>
        <v/>
      </c>
      <c r="F21" s="12">
        <f>Menu_Setup!F11</f>
        <v>0</v>
      </c>
      <c r="G21" s="12">
        <f>Menu_Setup!G11</f>
        <v>1</v>
      </c>
      <c r="H21" s="12">
        <f>IF($F21&gt;0,MAX(Inputs!$B$8,ROUNDUP(Inputs!$B$3*$F21,0)),0)</f>
        <v>0</v>
      </c>
      <c r="I21" s="12">
        <f>IF($F21&gt;0,MAX(Inputs!$B$8,ROUNDUP(Inputs!$B$4*$F21,0)),0)</f>
        <v>0</v>
      </c>
      <c r="J21" s="13">
        <f t="shared" si="1"/>
        <v>0</v>
      </c>
      <c r="K21" s="13">
        <f t="shared" si="2"/>
        <v>0</v>
      </c>
      <c r="L21" s="12">
        <f>IF($G21&gt;0,MAX(Inputs!$B$8,ROUNDUP(Inputs!$B$3*$G21,0)),0)</f>
        <v>400</v>
      </c>
      <c r="M21" s="12">
        <f>IF($G21&gt;0,MAX(Inputs!$B$8,ROUNDUP(Inputs!$B$4*$G21,0)),0)</f>
        <v>500</v>
      </c>
      <c r="N21" s="13">
        <f t="shared" si="3"/>
        <v>800</v>
      </c>
      <c r="O21" s="13">
        <f t="shared" si="4"/>
        <v>1000</v>
      </c>
      <c r="P21" s="11" t="str">
        <f>IF(Menu_Setup!H11="","",Menu_Setup!H11)</f>
        <v/>
      </c>
    </row>
    <row r="22" ht="12.75" customHeight="1">
      <c r="A22" s="11" t="str">
        <f>Menu_Setup!A12</f>
        <v>Mini ceviche de camarón</v>
      </c>
      <c r="B22" s="12" t="str">
        <f>Menu_Setup!B12</f>
        <v>Salado</v>
      </c>
      <c r="C22" s="12" t="str">
        <f>Menu_Setup!C12</f>
        <v>Gourmet</v>
      </c>
      <c r="D22" s="13">
        <f>Menu_Setup!D12</f>
        <v>2</v>
      </c>
      <c r="E22" s="11" t="str">
        <f>IF(Menu_Setup!E12="","",Menu_Setup!E12)</f>
        <v/>
      </c>
      <c r="F22" s="12">
        <f>Menu_Setup!F12</f>
        <v>0</v>
      </c>
      <c r="G22" s="12">
        <f>Menu_Setup!G12</f>
        <v>1</v>
      </c>
      <c r="H22" s="12">
        <f>IF($F22&gt;0,MAX(Inputs!$B$8,ROUNDUP(Inputs!$B$3*$F22,0)),0)</f>
        <v>0</v>
      </c>
      <c r="I22" s="12">
        <f>IF($F22&gt;0,MAX(Inputs!$B$8,ROUNDUP(Inputs!$B$4*$F22,0)),0)</f>
        <v>0</v>
      </c>
      <c r="J22" s="13">
        <f t="shared" si="1"/>
        <v>0</v>
      </c>
      <c r="K22" s="13">
        <f t="shared" si="2"/>
        <v>0</v>
      </c>
      <c r="L22" s="12">
        <f>IF($G22&gt;0,MAX(Inputs!$B$8,ROUNDUP(Inputs!$B$3*$G22,0)),0)</f>
        <v>400</v>
      </c>
      <c r="M22" s="12">
        <f>IF($G22&gt;0,MAX(Inputs!$B$8,ROUNDUP(Inputs!$B$4*$G22,0)),0)</f>
        <v>500</v>
      </c>
      <c r="N22" s="13">
        <f t="shared" si="3"/>
        <v>800</v>
      </c>
      <c r="O22" s="13">
        <f t="shared" si="4"/>
        <v>1000</v>
      </c>
      <c r="P22" s="11" t="str">
        <f>IF(Menu_Setup!H12="","",Menu_Setup!H12)</f>
        <v/>
      </c>
    </row>
    <row r="23" ht="12.75" hidden="1" customHeight="1">
      <c r="A23" s="11" t="str">
        <f>Menu_Setup!A13</f>
        <v>Brocheta de pollo al estilo Thai</v>
      </c>
      <c r="B23" s="12" t="str">
        <f>Menu_Setup!B13</f>
        <v>Salado</v>
      </c>
      <c r="C23" s="12" t="str">
        <f>Menu_Setup!C13</f>
        <v>Gourmet</v>
      </c>
      <c r="D23" s="13">
        <f>Menu_Setup!D13</f>
        <v>2</v>
      </c>
      <c r="E23" s="11" t="str">
        <f>IF(Menu_Setup!E13="","",Menu_Setup!E13)</f>
        <v/>
      </c>
      <c r="F23" s="12">
        <f>Menu_Setup!F13</f>
        <v>1</v>
      </c>
      <c r="G23" s="12">
        <f>Menu_Setup!G13</f>
        <v>0</v>
      </c>
      <c r="H23" s="12">
        <f>IF($F23&gt;0,MAX(Inputs!$B$8,ROUNDUP(Inputs!$B$3*$F23,0)),0)</f>
        <v>400</v>
      </c>
      <c r="I23" s="12">
        <f>IF($F23&gt;0,MAX(Inputs!$B$8,ROUNDUP(Inputs!$B$4*$F23,0)),0)</f>
        <v>500</v>
      </c>
      <c r="J23" s="13">
        <f t="shared" si="1"/>
        <v>800</v>
      </c>
      <c r="K23" s="13">
        <f t="shared" si="2"/>
        <v>1000</v>
      </c>
      <c r="L23" s="12">
        <f>IF($G23&gt;0,MAX(Inputs!$B$8,ROUNDUP(Inputs!$B$3*$G23,0)),0)</f>
        <v>0</v>
      </c>
      <c r="M23" s="12">
        <f>IF($G23&gt;0,MAX(Inputs!$B$8,ROUNDUP(Inputs!$B$4*$G23,0)),0)</f>
        <v>0</v>
      </c>
      <c r="N23" s="13">
        <f t="shared" si="3"/>
        <v>0</v>
      </c>
      <c r="O23" s="13">
        <f t="shared" si="4"/>
        <v>0</v>
      </c>
      <c r="P23" s="11" t="str">
        <f>IF(Menu_Setup!H13="","",Menu_Setup!H13)</f>
        <v/>
      </c>
    </row>
    <row r="24" ht="12.75" customHeight="1">
      <c r="A24" s="11" t="str">
        <f>Menu_Setup!A14</f>
        <v>Camarones empanizados con salsa tártara</v>
      </c>
      <c r="B24" s="12" t="str">
        <f>Menu_Setup!B14</f>
        <v>Salado</v>
      </c>
      <c r="C24" s="12" t="str">
        <f>Menu_Setup!C14</f>
        <v>Gourmet</v>
      </c>
      <c r="D24" s="13">
        <f>Menu_Setup!D14</f>
        <v>2</v>
      </c>
      <c r="E24" s="11" t="str">
        <f>IF(Menu_Setup!E14="","",Menu_Setup!E14)</f>
        <v/>
      </c>
      <c r="F24" s="12">
        <f>Menu_Setup!F14</f>
        <v>0</v>
      </c>
      <c r="G24" s="12">
        <f>Menu_Setup!G14</f>
        <v>1</v>
      </c>
      <c r="H24" s="12">
        <f>IF($F24&gt;0,MAX(Inputs!$B$8,ROUNDUP(Inputs!$B$3*$F24,0)),0)</f>
        <v>0</v>
      </c>
      <c r="I24" s="12">
        <f>IF($F24&gt;0,MAX(Inputs!$B$8,ROUNDUP(Inputs!$B$4*$F24,0)),0)</f>
        <v>0</v>
      </c>
      <c r="J24" s="13">
        <f t="shared" si="1"/>
        <v>0</v>
      </c>
      <c r="K24" s="13">
        <f t="shared" si="2"/>
        <v>0</v>
      </c>
      <c r="L24" s="12">
        <f>IF($G24&gt;0,MAX(Inputs!$B$8,ROUNDUP(Inputs!$B$3*$G24,0)),0)</f>
        <v>400</v>
      </c>
      <c r="M24" s="12">
        <f>IF($G24&gt;0,MAX(Inputs!$B$8,ROUNDUP(Inputs!$B$4*$G24,0)),0)</f>
        <v>500</v>
      </c>
      <c r="N24" s="13">
        <f t="shared" si="3"/>
        <v>800</v>
      </c>
      <c r="O24" s="13">
        <f t="shared" si="4"/>
        <v>1000</v>
      </c>
      <c r="P24" s="11" t="str">
        <f>IF(Menu_Setup!H14="","",Menu_Setup!H14)</f>
        <v/>
      </c>
    </row>
    <row r="25" ht="12.75" customHeight="1">
      <c r="A25" s="18" t="s">
        <v>88</v>
      </c>
      <c r="B25" s="12" t="str">
        <f>Menu_Setup!B15</f>
        <v>Salado</v>
      </c>
      <c r="C25" s="12" t="str">
        <f>Menu_Setup!C15</f>
        <v>Gourmet</v>
      </c>
      <c r="D25" s="13">
        <f>Menu_Setup!D15</f>
        <v>2</v>
      </c>
      <c r="E25" s="11" t="str">
        <f>IF(Menu_Setup!E15="","",Menu_Setup!E15)</f>
        <v>Confirmar cómo se sirve (corte / salsa).</v>
      </c>
      <c r="F25" s="12">
        <f>Menu_Setup!F15</f>
        <v>0</v>
      </c>
      <c r="G25" s="12">
        <f>Menu_Setup!G15</f>
        <v>1</v>
      </c>
      <c r="H25" s="12">
        <f>IF($F25&gt;0,MAX(Inputs!$B$8,ROUNDUP(Inputs!$B$3*$F25,0)),0)</f>
        <v>0</v>
      </c>
      <c r="I25" s="12">
        <f>IF($F25&gt;0,MAX(Inputs!$B$8,ROUNDUP(Inputs!$B$4*$F25,0)),0)</f>
        <v>0</v>
      </c>
      <c r="J25" s="13">
        <f t="shared" si="1"/>
        <v>0</v>
      </c>
      <c r="K25" s="13">
        <f t="shared" si="2"/>
        <v>0</v>
      </c>
      <c r="L25" s="12">
        <f>IF($G25&gt;0,MAX(Inputs!$B$8,ROUNDUP(Inputs!$B$3*$G25,0)),0)</f>
        <v>400</v>
      </c>
      <c r="M25" s="12">
        <f>IF($G25&gt;0,MAX(Inputs!$B$8,ROUNDUP(Inputs!$B$4*$G25,0)),0)</f>
        <v>500</v>
      </c>
      <c r="N25" s="13">
        <f t="shared" si="3"/>
        <v>800</v>
      </c>
      <c r="O25" s="13">
        <f t="shared" si="4"/>
        <v>1000</v>
      </c>
      <c r="P25" s="11" t="str">
        <f>IF(Menu_Setup!H15="","",Menu_Setup!H15)</f>
        <v/>
      </c>
    </row>
    <row r="26" ht="12.75" customHeight="1">
      <c r="A26" s="11" t="str">
        <f>Menu_Setup!A16</f>
        <v>Rollitos de pepino o de berenjenas</v>
      </c>
      <c r="B26" s="12" t="str">
        <f>Menu_Setup!B16</f>
        <v>Salado</v>
      </c>
      <c r="C26" s="12" t="str">
        <f>Menu_Setup!C16</f>
        <v>Vegetarianos</v>
      </c>
      <c r="D26" s="13">
        <f>Menu_Setup!D16</f>
        <v>2.25</v>
      </c>
      <c r="E26" s="11" t="str">
        <f>IF(Menu_Setup!E16="","",Menu_Setup!E16)</f>
        <v/>
      </c>
      <c r="F26" s="12">
        <f>Menu_Setup!F16</f>
        <v>0</v>
      </c>
      <c r="G26" s="12">
        <f>Menu_Setup!G16</f>
        <v>1</v>
      </c>
      <c r="H26" s="12">
        <f>IF($F26&gt;0,MAX(Inputs!$B$8,ROUNDUP(Inputs!$B$3*$F26,0)),0)</f>
        <v>0</v>
      </c>
      <c r="I26" s="12">
        <f>IF($F26&gt;0,MAX(Inputs!$B$8,ROUNDUP(Inputs!$B$4*$F26,0)),0)</f>
        <v>0</v>
      </c>
      <c r="J26" s="13">
        <f t="shared" si="1"/>
        <v>0</v>
      </c>
      <c r="K26" s="13">
        <f t="shared" si="2"/>
        <v>0</v>
      </c>
      <c r="L26" s="12">
        <f>IF($G26&gt;0,MAX(Inputs!$B$8,ROUNDUP(Inputs!$B$3*$G26,0)),0)</f>
        <v>400</v>
      </c>
      <c r="M26" s="12">
        <f>IF($G26&gt;0,MAX(Inputs!$B$8,ROUNDUP(Inputs!$B$4*$G26,0)),0)</f>
        <v>500</v>
      </c>
      <c r="N26" s="13">
        <f t="shared" si="3"/>
        <v>900</v>
      </c>
      <c r="O26" s="13">
        <f t="shared" si="4"/>
        <v>1125</v>
      </c>
      <c r="P26" s="11" t="str">
        <f>IF(Menu_Setup!H16="","",Menu_Setup!H16)</f>
        <v/>
      </c>
    </row>
    <row r="27" ht="12.75" customHeight="1">
      <c r="A27" s="11" t="str">
        <f>Menu_Setup!A17</f>
        <v>Vegetales temporizados o tomates cherry confitados</v>
      </c>
      <c r="B27" s="12" t="str">
        <f>Menu_Setup!B17</f>
        <v>Salado</v>
      </c>
      <c r="C27" s="12" t="str">
        <f>Menu_Setup!C17</f>
        <v>Vegetarianos</v>
      </c>
      <c r="D27" s="13">
        <f>Menu_Setup!D17</f>
        <v>2.25</v>
      </c>
      <c r="E27" s="11" t="str">
        <f>IF(Menu_Setup!E17="","",Menu_Setup!E17)</f>
        <v/>
      </c>
      <c r="F27" s="12">
        <f>Menu_Setup!F17</f>
        <v>0</v>
      </c>
      <c r="G27" s="12">
        <f>Menu_Setup!G17</f>
        <v>1</v>
      </c>
      <c r="H27" s="12">
        <f>IF($F27&gt;0,MAX(Inputs!$B$8,ROUNDUP(Inputs!$B$3*$F27,0)),0)</f>
        <v>0</v>
      </c>
      <c r="I27" s="12">
        <f>IF($F27&gt;0,MAX(Inputs!$B$8,ROUNDUP(Inputs!$B$4*$F27,0)),0)</f>
        <v>0</v>
      </c>
      <c r="J27" s="13">
        <f t="shared" si="1"/>
        <v>0</v>
      </c>
      <c r="K27" s="13">
        <f t="shared" si="2"/>
        <v>0</v>
      </c>
      <c r="L27" s="12">
        <f>IF($G27&gt;0,MAX(Inputs!$B$8,ROUNDUP(Inputs!$B$3*$G27,0)),0)</f>
        <v>400</v>
      </c>
      <c r="M27" s="12">
        <f>IF($G27&gt;0,MAX(Inputs!$B$8,ROUNDUP(Inputs!$B$4*$G27,0)),0)</f>
        <v>500</v>
      </c>
      <c r="N27" s="13">
        <f t="shared" si="3"/>
        <v>900</v>
      </c>
      <c r="O27" s="13">
        <f t="shared" si="4"/>
        <v>1125</v>
      </c>
      <c r="P27" s="11" t="str">
        <f>IF(Menu_Setup!H17="","",Menu_Setup!H17)</f>
        <v/>
      </c>
    </row>
    <row r="28" ht="12.75" customHeight="1">
      <c r="A28" s="11" t="str">
        <f>Menu_Setup!A18</f>
        <v>Humus de colores</v>
      </c>
      <c r="B28" s="12" t="str">
        <f>Menu_Setup!B18</f>
        <v>Salado</v>
      </c>
      <c r="C28" s="12" t="str">
        <f>Menu_Setup!C18</f>
        <v>Vegetarianos</v>
      </c>
      <c r="D28" s="13">
        <f>Menu_Setup!D18</f>
        <v>2.25</v>
      </c>
      <c r="E28" s="11" t="str">
        <f>IF(Menu_Setup!E18="","",Menu_Setup!E18)</f>
        <v/>
      </c>
      <c r="F28" s="12">
        <f>Menu_Setup!F18</f>
        <v>0</v>
      </c>
      <c r="G28" s="12">
        <f>Menu_Setup!G18</f>
        <v>1</v>
      </c>
      <c r="H28" s="12">
        <f>IF($F28&gt;0,MAX(Inputs!$B$8,ROUNDUP(Inputs!$B$3*$F28,0)),0)</f>
        <v>0</v>
      </c>
      <c r="I28" s="12">
        <f>IF($F28&gt;0,MAX(Inputs!$B$8,ROUNDUP(Inputs!$B$4*$F28,0)),0)</f>
        <v>0</v>
      </c>
      <c r="J28" s="13">
        <f t="shared" si="1"/>
        <v>0</v>
      </c>
      <c r="K28" s="13">
        <f t="shared" si="2"/>
        <v>0</v>
      </c>
      <c r="L28" s="12">
        <f>IF($G28&gt;0,MAX(Inputs!$B$8,ROUNDUP(Inputs!$B$3*$G28,0)),0)</f>
        <v>400</v>
      </c>
      <c r="M28" s="12">
        <f>IF($G28&gt;0,MAX(Inputs!$B$8,ROUNDUP(Inputs!$B$4*$G28,0)),0)</f>
        <v>500</v>
      </c>
      <c r="N28" s="13">
        <f t="shared" si="3"/>
        <v>900</v>
      </c>
      <c r="O28" s="13">
        <f t="shared" si="4"/>
        <v>1125</v>
      </c>
      <c r="P28" s="11" t="str">
        <f>IF(Menu_Setup!H18="","",Menu_Setup!H18)</f>
        <v/>
      </c>
    </row>
    <row r="29" ht="12.75" hidden="1" customHeight="1">
      <c r="A29" s="11" t="str">
        <f>Menu_Setup!A19</f>
        <v>Cardenal de fruta roja (preferible fresa)</v>
      </c>
      <c r="B29" s="12" t="str">
        <f>Menu_Setup!B19</f>
        <v>Dulce</v>
      </c>
      <c r="C29" s="12" t="str">
        <f>Menu_Setup!C19</f>
        <v>Dulce</v>
      </c>
      <c r="D29" s="13">
        <f>Menu_Setup!D19</f>
        <v>1.4</v>
      </c>
      <c r="E29" s="11" t="str">
        <f>IF(Menu_Setup!E19="","",Menu_Setup!E19)</f>
        <v/>
      </c>
      <c r="F29" s="12">
        <f>Menu_Setup!F19</f>
        <v>1</v>
      </c>
      <c r="G29" s="12">
        <f>Menu_Setup!G19</f>
        <v>0</v>
      </c>
      <c r="H29" s="12">
        <f>IF($F29&gt;0,MAX(Inputs!$B$8,ROUNDUP(Inputs!$B$3*$F29,0)),0)</f>
        <v>400</v>
      </c>
      <c r="I29" s="12">
        <f>IF($F29&gt;0,MAX(Inputs!$B$8,ROUNDUP(Inputs!$B$4*$F29,0)),0)</f>
        <v>500</v>
      </c>
      <c r="J29" s="13">
        <f t="shared" si="1"/>
        <v>560</v>
      </c>
      <c r="K29" s="13">
        <f t="shared" si="2"/>
        <v>700</v>
      </c>
      <c r="L29" s="12">
        <f>IF($G29&gt;0,MAX(Inputs!$B$8,ROUNDUP(Inputs!$B$3*$G29,0)),0)</f>
        <v>0</v>
      </c>
      <c r="M29" s="12">
        <f>IF($G29&gt;0,MAX(Inputs!$B$8,ROUNDUP(Inputs!$B$4*$G29,0)),0)</f>
        <v>0</v>
      </c>
      <c r="N29" s="13">
        <f t="shared" si="3"/>
        <v>0</v>
      </c>
      <c r="O29" s="13">
        <f t="shared" si="4"/>
        <v>0</v>
      </c>
      <c r="P29" s="11" t="str">
        <f>IF(Menu_Setup!H19="","",Menu_Setup!H19)</f>
        <v/>
      </c>
    </row>
    <row r="30" ht="12.75" customHeight="1">
      <c r="A30" s="11" t="str">
        <f>Menu_Setup!A20</f>
        <v>Fresas cubiertas con chocolate</v>
      </c>
      <c r="B30" s="12" t="str">
        <f>Menu_Setup!B20</f>
        <v>Dulce</v>
      </c>
      <c r="C30" s="12" t="str">
        <f>Menu_Setup!C20</f>
        <v>Dulce</v>
      </c>
      <c r="D30" s="13">
        <f>Menu_Setup!D20</f>
        <v>1.4</v>
      </c>
      <c r="E30" s="11" t="str">
        <f>IF(Menu_Setup!E20="","",Menu_Setup!E20)</f>
        <v/>
      </c>
      <c r="F30" s="12">
        <f>Menu_Setup!F20</f>
        <v>0</v>
      </c>
      <c r="G30" s="12">
        <f>Menu_Setup!G20</f>
        <v>1</v>
      </c>
      <c r="H30" s="12">
        <f>IF($F30&gt;0,MAX(Inputs!$B$8,ROUNDUP(Inputs!$B$3*$F30,0)),0)</f>
        <v>0</v>
      </c>
      <c r="I30" s="12">
        <f>IF($F30&gt;0,MAX(Inputs!$B$8,ROUNDUP(Inputs!$B$4*$F30,0)),0)</f>
        <v>0</v>
      </c>
      <c r="J30" s="13">
        <f t="shared" si="1"/>
        <v>0</v>
      </c>
      <c r="K30" s="13">
        <f t="shared" si="2"/>
        <v>0</v>
      </c>
      <c r="L30" s="12">
        <f>IF($G30&gt;0,MAX(Inputs!$B$8,ROUNDUP(Inputs!$B$3*$G30,0)),0)</f>
        <v>400</v>
      </c>
      <c r="M30" s="12">
        <f>IF($G30&gt;0,MAX(Inputs!$B$8,ROUNDUP(Inputs!$B$4*$G30,0)),0)</f>
        <v>500</v>
      </c>
      <c r="N30" s="13">
        <f t="shared" si="3"/>
        <v>560</v>
      </c>
      <c r="O30" s="13">
        <f t="shared" si="4"/>
        <v>700</v>
      </c>
      <c r="P30" s="11" t="str">
        <f>IF(Menu_Setup!H20="","",Menu_Setup!H20)</f>
        <v/>
      </c>
    </row>
    <row r="31" ht="12.75" hidden="1" customHeight="1">
      <c r="A31" s="11" t="str">
        <f>Menu_Setup!A21</f>
        <v>Mini tartas / mini alfajores</v>
      </c>
      <c r="B31" s="12" t="str">
        <f>Menu_Setup!B21</f>
        <v>Dulce</v>
      </c>
      <c r="C31" s="12" t="str">
        <f>Menu_Setup!C21</f>
        <v>Dulce</v>
      </c>
      <c r="D31" s="13">
        <f>Menu_Setup!D21</f>
        <v>1.4</v>
      </c>
      <c r="E31" s="11" t="str">
        <f>IF(Menu_Setup!E21="","",Menu_Setup!E21)</f>
        <v>(Reserva / reemplazo opcional).</v>
      </c>
      <c r="F31" s="12">
        <f>Menu_Setup!F21</f>
        <v>0</v>
      </c>
      <c r="G31" s="12">
        <f>Menu_Setup!G21</f>
        <v>0</v>
      </c>
      <c r="H31" s="12">
        <f>IF($F31&gt;0,MAX(Inputs!$B$8,ROUNDUP(Inputs!$B$3*$F31,0)),0)</f>
        <v>0</v>
      </c>
      <c r="I31" s="12">
        <f>IF($F31&gt;0,MAX(Inputs!$B$8,ROUNDUP(Inputs!$B$4*$F31,0)),0)</f>
        <v>0</v>
      </c>
      <c r="J31" s="13">
        <f t="shared" si="1"/>
        <v>0</v>
      </c>
      <c r="K31" s="13">
        <f t="shared" si="2"/>
        <v>0</v>
      </c>
      <c r="L31" s="12">
        <f>IF($G31&gt;0,MAX(Inputs!$B$8,ROUNDUP(Inputs!$B$3*$G31,0)),0)</f>
        <v>0</v>
      </c>
      <c r="M31" s="12">
        <f>IF($G31&gt;0,MAX(Inputs!$B$8,ROUNDUP(Inputs!$B$4*$G31,0)),0)</f>
        <v>0</v>
      </c>
      <c r="N31" s="13">
        <f t="shared" si="3"/>
        <v>0</v>
      </c>
      <c r="O31" s="13">
        <f t="shared" si="4"/>
        <v>0</v>
      </c>
      <c r="P31" s="11" t="str">
        <f>IF(Menu_Setup!H21="","",Menu_Setup!H21)</f>
        <v/>
      </c>
    </row>
    <row r="32" ht="12.75" customHeight="1">
      <c r="A32" s="11" t="str">
        <f>Menu_Setup!A22</f>
        <v>Cheesecake con salsa de fresa</v>
      </c>
      <c r="B32" s="12" t="str">
        <f>Menu_Setup!B22</f>
        <v>Dulce</v>
      </c>
      <c r="C32" s="12" t="str">
        <f>Menu_Setup!C22</f>
        <v>Dulce</v>
      </c>
      <c r="D32" s="13">
        <f>Menu_Setup!D22</f>
        <v>1.4</v>
      </c>
      <c r="E32" s="11" t="str">
        <f>IF(Menu_Setup!E22="","",Menu_Setup!E22)</f>
        <v/>
      </c>
      <c r="F32" s="12">
        <f>Menu_Setup!F22</f>
        <v>0</v>
      </c>
      <c r="G32" s="12">
        <f>Menu_Setup!G22</f>
        <v>1</v>
      </c>
      <c r="H32" s="12">
        <f>IF($F32&gt;0,MAX(Inputs!$B$8,ROUNDUP(Inputs!$B$3*$F32,0)),0)</f>
        <v>0</v>
      </c>
      <c r="I32" s="12">
        <f>IF($F32&gt;0,MAX(Inputs!$B$8,ROUNDUP(Inputs!$B$4*$F32,0)),0)</f>
        <v>0</v>
      </c>
      <c r="J32" s="13">
        <f t="shared" si="1"/>
        <v>0</v>
      </c>
      <c r="K32" s="13">
        <f t="shared" si="2"/>
        <v>0</v>
      </c>
      <c r="L32" s="12">
        <f>IF($G32&gt;0,MAX(Inputs!$B$8,ROUNDUP(Inputs!$B$3*$G32,0)),0)</f>
        <v>400</v>
      </c>
      <c r="M32" s="12">
        <f>IF($G32&gt;0,MAX(Inputs!$B$8,ROUNDUP(Inputs!$B$4*$G32,0)),0)</f>
        <v>500</v>
      </c>
      <c r="N32" s="13">
        <f t="shared" si="3"/>
        <v>560</v>
      </c>
      <c r="O32" s="13">
        <f t="shared" si="4"/>
        <v>700</v>
      </c>
      <c r="P32" s="11" t="str">
        <f>IF(Menu_Setup!H22="","",Menu_Setup!H22)</f>
        <v/>
      </c>
    </row>
    <row r="33" ht="12.75" hidden="1" customHeight="1">
      <c r="A33" s="11" t="str">
        <f>Menu_Setup!A23</f>
        <v>Pie de limón</v>
      </c>
      <c r="B33" s="12" t="str">
        <f>Menu_Setup!B23</f>
        <v>Dulce</v>
      </c>
      <c r="C33" s="12" t="str">
        <f>Menu_Setup!C23</f>
        <v>Dulce</v>
      </c>
      <c r="D33" s="13">
        <f>Menu_Setup!D23</f>
        <v>1.4</v>
      </c>
      <c r="E33" s="11" t="str">
        <f>IF(Menu_Setup!E23="","",Menu_Setup!E23)</f>
        <v/>
      </c>
      <c r="F33" s="12">
        <f>Menu_Setup!F23</f>
        <v>1</v>
      </c>
      <c r="G33" s="12">
        <f>Menu_Setup!G23</f>
        <v>0</v>
      </c>
      <c r="H33" s="12">
        <f>IF($F33&gt;0,MAX(Inputs!$B$8,ROUNDUP(Inputs!$B$3*$F33,0)),0)</f>
        <v>400</v>
      </c>
      <c r="I33" s="12">
        <f>IF($F33&gt;0,MAX(Inputs!$B$8,ROUNDUP(Inputs!$B$4*$F33,0)),0)</f>
        <v>500</v>
      </c>
      <c r="J33" s="13">
        <f t="shared" si="1"/>
        <v>560</v>
      </c>
      <c r="K33" s="13">
        <f t="shared" si="2"/>
        <v>700</v>
      </c>
      <c r="L33" s="12">
        <f>IF($G33&gt;0,MAX(Inputs!$B$8,ROUNDUP(Inputs!$B$3*$G33,0)),0)</f>
        <v>0</v>
      </c>
      <c r="M33" s="12">
        <f>IF($G33&gt;0,MAX(Inputs!$B$8,ROUNDUP(Inputs!$B$4*$G33,0)),0)</f>
        <v>0</v>
      </c>
      <c r="N33" s="13">
        <f t="shared" si="3"/>
        <v>0</v>
      </c>
      <c r="O33" s="13">
        <f t="shared" si="4"/>
        <v>0</v>
      </c>
      <c r="P33" s="11" t="str">
        <f>IF(Menu_Setup!H23="","",Menu_Setup!H23)</f>
        <v/>
      </c>
    </row>
    <row r="34" ht="12.75" customHeight="1"/>
    <row r="35" ht="12.75" customHeight="1"/>
    <row r="36" ht="12.75" customHeight="1">
      <c r="A36" s="7" t="s">
        <v>89</v>
      </c>
    </row>
    <row r="37" ht="12.75" customHeight="1">
      <c r="A37" s="19" t="s">
        <v>90</v>
      </c>
      <c r="B37" s="20">
        <f>SUM(J13:J33)</f>
        <v>6200</v>
      </c>
      <c r="C37" s="21"/>
      <c r="D37" s="19" t="s">
        <v>91</v>
      </c>
      <c r="E37" s="20">
        <f>SUM(K13:K33)</f>
        <v>7750</v>
      </c>
    </row>
    <row r="38" ht="12.75" customHeight="1">
      <c r="A38" s="4" t="s">
        <v>92</v>
      </c>
      <c r="B38" s="22">
        <f>B37*Inputs!$B$9</f>
        <v>620</v>
      </c>
      <c r="D38" s="4" t="s">
        <v>93</v>
      </c>
      <c r="E38" s="22">
        <f>E37*Inputs!$B$9</f>
        <v>775</v>
      </c>
    </row>
    <row r="39" ht="12.75" customHeight="1">
      <c r="A39" s="4" t="s">
        <v>94</v>
      </c>
      <c r="B39" s="23">
        <f>B37*(1+Inputs!$B$9)</f>
        <v>6820</v>
      </c>
      <c r="D39" s="4" t="s">
        <v>95</v>
      </c>
      <c r="E39" s="23">
        <f>E37*(1+Inputs!$B$9)</f>
        <v>8525</v>
      </c>
    </row>
    <row r="40" ht="12.75" customHeight="1">
      <c r="A40" s="4" t="s">
        <v>96</v>
      </c>
      <c r="B40" s="22">
        <f>B39/Inputs!$B$3</f>
        <v>17.05</v>
      </c>
      <c r="D40" s="4" t="s">
        <v>97</v>
      </c>
      <c r="E40" s="22">
        <f>E39/Inputs!$B$4</f>
        <v>17.05</v>
      </c>
    </row>
    <row r="41" ht="12.75" customHeight="1"/>
    <row r="42" ht="12.75" customHeight="1"/>
    <row r="43" ht="12.75" customHeight="1">
      <c r="A43" s="7" t="s">
        <v>98</v>
      </c>
    </row>
    <row r="44" ht="12.75" customHeight="1">
      <c r="A44" s="19" t="s">
        <v>90</v>
      </c>
      <c r="B44" s="20">
        <f>SUM(N13:N33)</f>
        <v>7820</v>
      </c>
      <c r="C44" s="21"/>
      <c r="D44" s="19" t="s">
        <v>91</v>
      </c>
      <c r="E44" s="20">
        <f>SUM(O13:O33)</f>
        <v>9775</v>
      </c>
    </row>
    <row r="45" ht="12.75" customHeight="1">
      <c r="A45" s="4" t="s">
        <v>92</v>
      </c>
      <c r="B45" s="22">
        <f>B44*Inputs!$B$9</f>
        <v>782</v>
      </c>
      <c r="D45" s="4" t="s">
        <v>93</v>
      </c>
      <c r="E45" s="22">
        <f>E44*Inputs!$B$9</f>
        <v>977.5</v>
      </c>
    </row>
    <row r="46" ht="12.75" customHeight="1">
      <c r="A46" s="4" t="s">
        <v>94</v>
      </c>
      <c r="B46" s="23">
        <f>B44*(1+Inputs!$B$9)</f>
        <v>8602</v>
      </c>
      <c r="D46" s="4" t="s">
        <v>95</v>
      </c>
      <c r="E46" s="23">
        <f>E44*(1+Inputs!$B$9)</f>
        <v>10752.5</v>
      </c>
    </row>
    <row r="47" ht="12.75" customHeight="1">
      <c r="A47" s="4" t="s">
        <v>96</v>
      </c>
      <c r="B47" s="22">
        <f>B46/Inputs!$B$3</f>
        <v>21.505</v>
      </c>
      <c r="D47" s="4" t="s">
        <v>97</v>
      </c>
      <c r="E47" s="22">
        <f>E46/Inputs!$B$4</f>
        <v>21.505</v>
      </c>
    </row>
    <row r="48" ht="12.75" customHeight="1"/>
    <row r="49" ht="12.75" customHeight="1"/>
    <row r="50" ht="12.75" customHeight="1">
      <c r="A50" s="24" t="s">
        <v>99</v>
      </c>
      <c r="B50" s="25"/>
      <c r="C50" s="25"/>
      <c r="D50" s="25"/>
      <c r="E50" s="25"/>
    </row>
    <row r="51" ht="12.75" customHeight="1">
      <c r="A51" s="19" t="s">
        <v>90</v>
      </c>
      <c r="B51" s="20">
        <f>B37+B44</f>
        <v>14020</v>
      </c>
      <c r="C51" s="21"/>
      <c r="D51" s="19" t="s">
        <v>91</v>
      </c>
      <c r="E51" s="20">
        <f>E37+E44</f>
        <v>17525</v>
      </c>
    </row>
    <row r="52" ht="12.75" customHeight="1">
      <c r="A52" s="4" t="s">
        <v>92</v>
      </c>
      <c r="B52" s="22">
        <f>B51*Inputs!$B$9</f>
        <v>1402</v>
      </c>
      <c r="D52" s="4" t="s">
        <v>93</v>
      </c>
      <c r="E52" s="22">
        <f>E51*Inputs!$B$9</f>
        <v>1752.5</v>
      </c>
    </row>
    <row r="53" ht="12.75" customHeight="1">
      <c r="A53" s="4" t="s">
        <v>94</v>
      </c>
      <c r="B53" s="23">
        <f>B51*(1+Inputs!$B$9)</f>
        <v>15422</v>
      </c>
      <c r="D53" s="4" t="s">
        <v>95</v>
      </c>
      <c r="E53" s="23">
        <f>E51*(1+Inputs!$B$9)</f>
        <v>19277.5</v>
      </c>
    </row>
    <row r="54" ht="12.75" customHeight="1">
      <c r="A54" s="4" t="s">
        <v>100</v>
      </c>
      <c r="B54" s="22">
        <f>B53/Inputs!$B$3</f>
        <v>38.555</v>
      </c>
      <c r="D54" s="4" t="s">
        <v>101</v>
      </c>
      <c r="E54" s="22">
        <f>E53/Inputs!$B$4</f>
        <v>38.555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2:$P$33">
    <filterColumn colId="11">
      <filters>
        <filter val="400"/>
      </filters>
    </filterColumn>
  </autoFilter>
  <mergeCells count="1">
    <mergeCell ref="A1:P1"/>
  </mergeCells>
  <conditionalFormatting sqref="P13:P33">
    <cfRule type="expression" dxfId="0" priority="1">
      <formula>LEN(P13)&gt;0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2026-03-03T00:37:42Z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